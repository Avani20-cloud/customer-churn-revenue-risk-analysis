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customer-churn-analysis\excel\"/>
    </mc:Choice>
  </mc:AlternateContent>
  <xr:revisionPtr revIDLastSave="0" documentId="13_ncr:1_{1FBF1222-4FF6-4058-8430-6F343EAE5DFE}" xr6:coauthVersionLast="47" xr6:coauthVersionMax="47" xr10:uidLastSave="{00000000-0000-0000-0000-000000000000}"/>
  <bookViews>
    <workbookView xWindow="9510" yWindow="0" windowWidth="9780" windowHeight="10170" firstSheet="1" activeTab="2" xr2:uid="{CF70ACE5-8C51-4063-A448-992E0DB22D49}"/>
  </bookViews>
  <sheets>
    <sheet name="Raw_Data" sheetId="5" r:id="rId1"/>
    <sheet name="Churn_Summary" sheetId="1" r:id="rId2"/>
    <sheet name="Revenue_Impact" sheetId="3" r:id="rId3"/>
    <sheet name="Insights" sheetId="4" r:id="rId4"/>
  </sheets>
  <definedNames>
    <definedName name="ExternalData_1" localSheetId="0" hidden="1">Raw_Data!$A$1:$U$7044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4" i="3"/>
  <c r="B3" i="3"/>
  <c r="B2" i="3"/>
  <c r="B4" i="1"/>
  <c r="B3" i="1"/>
  <c r="B2" i="1"/>
  <c r="B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893F63-E892-4418-96BF-A14510A515C8}" keepAlive="1" name="Query - telco_customer_churn" description="Connection to the 'telco_customer_churn' query in the workbook." type="5" refreshedVersion="8" background="1" saveData="1">
    <dbPr connection="Provider=Microsoft.Mashup.OleDb.1;Data Source=$Workbook$;Location=telco_customer_churn;Extended Properties=&quot;&quot;" command="SELECT * FROM [telco_customer_churn]"/>
  </connection>
</connections>
</file>

<file path=xl/sharedStrings.xml><?xml version="1.0" encoding="utf-8"?>
<sst xmlns="http://schemas.openxmlformats.org/spreadsheetml/2006/main" count="119760" uniqueCount="7087">
  <si>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</si>
  <si>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</si>
  <si>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</si>
  <si>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</si>
  <si>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</si>
  <si>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</si>
  <si>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</si>
  <si>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</si>
  <si>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</si>
  <si>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</si>
  <si>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</si>
  <si>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</si>
  <si>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</si>
  <si>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</si>
  <si>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</si>
  <si>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</si>
  <si>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</si>
  <si>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</si>
  <si>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</si>
  <si>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</si>
  <si>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</si>
  <si>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</si>
  <si>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</si>
  <si>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</si>
  <si>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</si>
  <si>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</si>
  <si>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</si>
  <si>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</si>
  <si>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</si>
  <si>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</si>
  <si>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</si>
  <si>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</si>
  <si>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</si>
  <si>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</si>
  <si>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</si>
  <si>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</si>
  <si>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</si>
  <si>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</si>
  <si>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</si>
  <si>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</si>
  <si>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</si>
  <si>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</si>
  <si>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</si>
  <si>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</si>
  <si>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</si>
  <si>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</si>
  <si>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</si>
  <si>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</si>
  <si>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</si>
  <si>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</si>
  <si>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</si>
  <si>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</si>
  <si>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</si>
  <si>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</si>
  <si>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</si>
  <si>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</si>
  <si>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</si>
  <si>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</si>
  <si>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</si>
  <si>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</si>
  <si>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</si>
  <si>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</si>
  <si>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</si>
  <si>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</si>
  <si>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</si>
  <si>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</si>
  <si>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</si>
  <si>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</si>
  <si>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</si>
  <si>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</si>
  <si>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</si>
  <si>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</si>
  <si>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</si>
  <si>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</si>
  <si>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</si>
  <si>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</si>
  <si>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</si>
  <si>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</si>
  <si>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</si>
  <si>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</si>
  <si>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</si>
  <si>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</si>
  <si>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</si>
  <si>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</si>
  <si>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</si>
  <si>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</si>
  <si>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</si>
  <si>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</si>
  <si>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</si>
  <si>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</si>
  <si>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</si>
  <si>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</si>
  <si>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</si>
  <si>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</si>
  <si>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</si>
  <si>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</si>
  <si>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</si>
  <si>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</si>
  <si>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</si>
  <si>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</si>
  <si>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</si>
  <si>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</si>
  <si>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</si>
  <si>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</si>
  <si>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</si>
  <si>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</si>
  <si>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</si>
  <si>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</si>
  <si>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</si>
  <si>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</si>
  <si>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</si>
  <si>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</si>
  <si>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</si>
  <si>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</si>
  <si>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</si>
  <si>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</si>
  <si>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</si>
  <si>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</si>
  <si>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</si>
  <si>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</si>
  <si>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</si>
  <si>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</si>
  <si>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</si>
  <si>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</si>
  <si>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</si>
  <si>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</si>
  <si>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</si>
  <si>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</si>
  <si>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</si>
  <si>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</si>
  <si>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</si>
  <si>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</si>
  <si>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</si>
  <si>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</si>
  <si>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</si>
  <si>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</si>
  <si>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</si>
  <si>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</si>
  <si>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</si>
  <si>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</si>
  <si>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</si>
  <si>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</si>
  <si>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</si>
  <si>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</si>
  <si>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</si>
  <si>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</si>
  <si>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</si>
  <si>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</si>
  <si>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</si>
  <si>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</si>
  <si>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</si>
  <si>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</si>
  <si>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</si>
  <si>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</si>
  <si>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</si>
  <si>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</si>
  <si>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</si>
  <si>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</si>
  <si>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</si>
  <si>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</si>
  <si>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</si>
  <si>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</si>
  <si>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</si>
  <si>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</si>
  <si>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</si>
  <si>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</si>
  <si>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</si>
  <si>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</si>
  <si>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</si>
  <si>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</si>
  <si>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</si>
  <si>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</si>
  <si>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</si>
  <si>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</si>
  <si>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</si>
  <si>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</si>
  <si>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</si>
  <si>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</si>
  <si>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</si>
  <si>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</si>
  <si>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</si>
  <si>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</si>
  <si>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</si>
  <si>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</si>
  <si>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</si>
  <si>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</si>
  <si>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</si>
  <si>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</si>
  <si>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</si>
  <si>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</si>
  <si>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</si>
  <si>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</si>
  <si>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</si>
  <si>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</si>
  <si>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</si>
  <si>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</si>
  <si>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</si>
  <si>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</si>
  <si>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</si>
  <si>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</si>
  <si>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</si>
  <si>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</si>
  <si>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</si>
  <si>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</si>
  <si>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</si>
  <si>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</si>
  <si>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</si>
  <si>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</si>
  <si>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</si>
  <si>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</si>
  <si>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</si>
  <si>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</si>
  <si>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</si>
  <si>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</si>
  <si>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</si>
  <si>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</si>
  <si>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</si>
  <si>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</si>
  <si>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</si>
  <si>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</si>
  <si>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</si>
  <si>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</si>
  <si>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</si>
  <si>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</si>
  <si>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</si>
  <si>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</si>
  <si>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</si>
  <si>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</si>
  <si>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</si>
  <si>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</si>
  <si>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</si>
  <si>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</si>
  <si>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</si>
  <si>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</si>
  <si>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</si>
  <si>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</si>
  <si>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</si>
  <si>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</si>
  <si>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</si>
  <si>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</si>
  <si>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</si>
  <si>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</si>
  <si>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</si>
  <si>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</si>
  <si>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</si>
  <si>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</si>
  <si>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</si>
  <si>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</si>
  <si>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</si>
  <si>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</si>
  <si>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</si>
  <si>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</si>
  <si>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</si>
  <si>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</si>
  <si>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</si>
  <si>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</si>
  <si>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</si>
  <si>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</si>
  <si>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</si>
  <si>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</si>
  <si>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</si>
  <si>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</si>
  <si>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</si>
  <si>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</si>
  <si>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</si>
  <si>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</si>
  <si>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</si>
  <si>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</si>
  <si>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</si>
  <si>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</si>
  <si>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</si>
  <si>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</si>
  <si>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</si>
  <si>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</si>
  <si>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</si>
  <si>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</si>
  <si>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</si>
  <si>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</si>
  <si>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</si>
  <si>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</si>
  <si>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</si>
  <si>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</si>
  <si>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</si>
  <si>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</si>
  <si>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</si>
  <si>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</si>
  <si>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</si>
  <si>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</si>
  <si>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</si>
  <si>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</si>
  <si>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</si>
  <si>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</si>
  <si>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</si>
  <si>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</si>
  <si>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</si>
  <si>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</si>
  <si>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</si>
  <si>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</si>
  <si>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</si>
  <si>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</si>
  <si>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</si>
  <si>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</si>
  <si>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</si>
  <si>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</si>
  <si>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</si>
  <si>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</si>
  <si>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</si>
  <si>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</si>
  <si>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</si>
  <si>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</si>
  <si>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</si>
  <si>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</si>
  <si>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</si>
  <si>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</si>
  <si>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</si>
  <si>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</si>
  <si>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</si>
  <si>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</si>
  <si>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</si>
  <si>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</si>
  <si>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</si>
  <si>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</si>
  <si>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</si>
  <si>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</si>
  <si>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</si>
  <si>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</si>
  <si>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</si>
  <si>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</si>
  <si>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</si>
  <si>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</si>
  <si>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</si>
  <si>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</si>
  <si>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</si>
  <si>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</si>
  <si>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</si>
  <si>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</si>
  <si>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</si>
  <si>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</si>
  <si>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</si>
  <si>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</si>
  <si>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</si>
  <si>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</si>
  <si>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</si>
  <si>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</si>
  <si>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</si>
  <si>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</si>
  <si>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</si>
  <si>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</si>
  <si>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</si>
  <si>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</si>
  <si>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</si>
  <si>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</si>
  <si>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</si>
  <si>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</si>
  <si>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</si>
  <si>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</si>
  <si>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</si>
  <si>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</si>
  <si>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</si>
  <si>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</si>
  <si>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</si>
  <si>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</si>
  <si>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</si>
  <si>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</si>
  <si>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</si>
  <si>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</si>
  <si>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</si>
  <si>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</si>
  <si>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</si>
  <si>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</si>
  <si>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</si>
  <si>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</si>
  <si>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</si>
  <si>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</si>
  <si>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</si>
  <si>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</si>
  <si>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</si>
  <si>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</si>
  <si>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</si>
  <si>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</si>
  <si>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</si>
  <si>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</si>
  <si>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</si>
  <si>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</si>
  <si>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</si>
  <si>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</si>
  <si>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</si>
  <si>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</si>
  <si>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</si>
  <si>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</si>
  <si>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</si>
  <si>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</si>
  <si>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</si>
  <si>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</si>
  <si>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</si>
  <si>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</si>
  <si>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</si>
  <si>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</si>
  <si>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</si>
  <si>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</si>
  <si>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</si>
  <si>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</si>
  <si>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</si>
  <si>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</si>
  <si>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</si>
  <si>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</si>
  <si>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</si>
  <si>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</si>
  <si>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</si>
  <si>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</si>
  <si>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</si>
  <si>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</si>
  <si>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</si>
  <si>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</si>
  <si>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</si>
  <si>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</si>
  <si>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</si>
  <si>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</si>
  <si>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</si>
  <si>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</si>
  <si>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</si>
  <si>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</si>
  <si>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</si>
  <si>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</si>
  <si>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</si>
  <si>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</si>
  <si>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</si>
  <si>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</si>
  <si>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</si>
  <si>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</si>
  <si>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</si>
  <si>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</si>
  <si>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</si>
  <si>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</si>
  <si>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</si>
  <si>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</si>
  <si>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</si>
  <si>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</si>
  <si>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</si>
  <si>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</si>
  <si>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</si>
  <si>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</si>
  <si>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</si>
  <si>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</si>
  <si>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</si>
  <si>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</si>
  <si>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</si>
  <si>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</si>
  <si>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</si>
  <si>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</si>
  <si>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</si>
  <si>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</si>
  <si>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</si>
  <si>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</si>
  <si>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</si>
  <si>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</si>
  <si>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</si>
  <si>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</si>
  <si>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</si>
  <si>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</si>
  <si>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</si>
  <si>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</si>
  <si>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</si>
  <si>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</si>
  <si>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</si>
  <si>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</si>
  <si>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</si>
  <si>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</si>
  <si>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</si>
  <si>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</si>
  <si>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</si>
  <si>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</si>
  <si>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</si>
  <si>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</si>
  <si>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</si>
  <si>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</si>
  <si>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</si>
  <si>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</si>
  <si>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</si>
  <si>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</si>
  <si>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</si>
  <si>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</si>
  <si>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</si>
  <si>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</si>
  <si>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</si>
  <si>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</si>
  <si>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</si>
  <si>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</si>
  <si>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</si>
  <si>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</si>
  <si>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</si>
  <si>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</si>
  <si>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</si>
  <si>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</si>
  <si>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</si>
  <si>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</si>
  <si>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</si>
  <si>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</si>
  <si>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</si>
  <si>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</si>
  <si>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</si>
  <si>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</si>
  <si>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</si>
  <si>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</si>
  <si>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</si>
  <si>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</si>
  <si>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</si>
  <si>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</si>
  <si>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</si>
  <si>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</si>
  <si>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</si>
  <si>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</si>
  <si>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</si>
  <si>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</si>
  <si>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</si>
  <si>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</si>
  <si>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</si>
  <si>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</si>
  <si>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</si>
  <si>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</si>
  <si>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</si>
  <si>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</si>
  <si>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</si>
  <si>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</si>
  <si>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</si>
  <si>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</si>
  <si>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</si>
  <si>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</si>
  <si>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</si>
  <si>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</si>
  <si>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</si>
  <si>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</si>
  <si>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</si>
  <si>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</si>
  <si>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</si>
  <si>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</si>
  <si>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</si>
  <si>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</si>
  <si>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</si>
  <si>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</si>
  <si>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</si>
  <si>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</si>
  <si>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</si>
  <si>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</si>
  <si>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</si>
  <si>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</si>
  <si>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</si>
  <si>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</si>
  <si>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</si>
  <si>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</si>
  <si>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</si>
  <si>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</si>
  <si>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</si>
  <si>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</si>
  <si>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</si>
  <si>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</si>
  <si>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</si>
  <si>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</si>
  <si>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</si>
  <si>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</si>
  <si>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</si>
  <si>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</si>
  <si>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</si>
  <si>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</si>
  <si>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</si>
  <si>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</si>
  <si>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</si>
  <si>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</si>
  <si>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</si>
  <si>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</si>
  <si>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</si>
  <si>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</si>
  <si>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</si>
  <si>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</si>
  <si>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</si>
  <si>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</si>
  <si>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</si>
  <si>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</si>
  <si>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</si>
  <si>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</si>
  <si>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</si>
  <si>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</si>
  <si>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</si>
  <si>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</si>
  <si>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</si>
  <si>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</si>
  <si>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</si>
  <si>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</si>
  <si>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</si>
  <si>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</si>
  <si>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</si>
  <si>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</si>
  <si>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</si>
  <si>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</si>
  <si>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</si>
  <si>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</si>
  <si>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</si>
  <si>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</si>
  <si>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</si>
  <si>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</si>
  <si>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</si>
  <si>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</si>
  <si>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</si>
  <si>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</si>
  <si>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</si>
  <si>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</si>
  <si>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</si>
  <si>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</si>
  <si>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</si>
  <si>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</si>
  <si>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</si>
  <si>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</si>
  <si>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</si>
  <si>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</si>
  <si>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</si>
  <si>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</si>
  <si>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</si>
  <si>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</si>
  <si>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</si>
  <si>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</si>
  <si>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</si>
  <si>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</si>
  <si>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</si>
  <si>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</si>
  <si>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</si>
  <si>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</si>
  <si>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</si>
  <si>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</si>
  <si>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</si>
  <si>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</si>
  <si>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</si>
  <si>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</si>
  <si>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</si>
  <si>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</si>
  <si>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</si>
  <si>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</si>
  <si>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</si>
  <si>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</si>
  <si>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</si>
  <si>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</si>
  <si>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</si>
  <si>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</si>
  <si>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</si>
  <si>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</si>
  <si>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</si>
  <si>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</si>
  <si>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</si>
  <si>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</si>
  <si>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</si>
  <si>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</si>
  <si>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</si>
  <si>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</si>
  <si>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</si>
  <si>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</si>
  <si>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</si>
  <si>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</si>
  <si>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</si>
  <si>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</si>
  <si>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</si>
  <si>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</si>
  <si>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</si>
  <si>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</si>
  <si>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</si>
  <si>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</si>
  <si>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</si>
  <si>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</si>
  <si>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</si>
  <si>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</si>
  <si>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</si>
  <si>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</si>
  <si>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</si>
  <si>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</si>
  <si>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</si>
  <si>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</si>
  <si>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</si>
  <si>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</si>
  <si>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</si>
  <si>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</si>
  <si>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</si>
  <si>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</si>
  <si>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</si>
  <si>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</si>
  <si>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</si>
  <si>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</si>
  <si>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</si>
  <si>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</si>
  <si>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</si>
  <si>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</si>
  <si>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</si>
  <si>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</si>
  <si>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</si>
  <si>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</si>
  <si>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</si>
  <si>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</si>
  <si>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</si>
  <si>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</si>
  <si>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</si>
  <si>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</si>
  <si>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</si>
  <si>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</si>
  <si>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</si>
  <si>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</si>
  <si>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</si>
  <si>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</si>
  <si>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</si>
  <si>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</si>
  <si>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</si>
  <si>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</si>
  <si>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</si>
  <si>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</si>
  <si>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</si>
  <si>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</si>
  <si>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</si>
  <si>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</si>
  <si>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</si>
  <si>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</si>
  <si>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</si>
  <si>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</si>
  <si>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</si>
  <si>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</si>
  <si>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</si>
  <si>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</si>
  <si>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</si>
  <si>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</si>
  <si>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</si>
  <si>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</si>
  <si>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</si>
  <si>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</si>
  <si>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</si>
  <si>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</si>
  <si>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</si>
  <si>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</si>
  <si>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</si>
  <si>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</si>
  <si>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</si>
  <si>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</si>
  <si>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</si>
  <si>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</si>
  <si>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</si>
  <si>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</si>
  <si>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</si>
  <si>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</si>
  <si>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</si>
  <si>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</si>
  <si>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</si>
  <si>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</si>
  <si>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</si>
  <si>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</si>
  <si>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</si>
  <si>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</si>
  <si>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</si>
  <si>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</si>
  <si>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</si>
  <si>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</si>
  <si>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</si>
  <si>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</si>
  <si>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</si>
  <si>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</si>
  <si>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</si>
  <si>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</si>
  <si>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</si>
  <si>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</si>
  <si>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</si>
  <si>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</si>
  <si>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</si>
  <si>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</si>
  <si>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</si>
  <si>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</si>
  <si>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</si>
  <si>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</si>
  <si>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</si>
  <si>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</si>
  <si>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</si>
  <si>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</si>
  <si>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</si>
  <si>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</si>
  <si>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</si>
  <si>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</si>
  <si>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</si>
  <si>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</si>
  <si>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</si>
  <si>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</si>
  <si>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</si>
  <si>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</si>
  <si>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</si>
  <si>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</si>
  <si>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</si>
  <si>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</si>
  <si>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</si>
  <si>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</si>
  <si>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</si>
  <si>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</si>
  <si>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</si>
  <si>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</si>
  <si>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</si>
  <si>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</si>
  <si>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</si>
  <si>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</si>
  <si>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</si>
  <si>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</si>
  <si>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</si>
  <si>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</si>
  <si>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</si>
  <si>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</si>
  <si>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</si>
  <si>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</si>
  <si>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</si>
  <si>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</si>
  <si>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</si>
  <si>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</si>
  <si>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</si>
  <si>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</si>
  <si>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</si>
  <si>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</si>
  <si>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</si>
  <si>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</si>
  <si>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</si>
  <si>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</si>
  <si>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</si>
  <si>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</si>
  <si>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</si>
  <si>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</si>
  <si>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</si>
  <si>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</si>
  <si>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</si>
  <si>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</si>
  <si>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</si>
  <si>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</si>
  <si>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</si>
  <si>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</si>
  <si>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</si>
  <si>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</si>
  <si>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</si>
  <si>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</si>
  <si>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</si>
  <si>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</si>
  <si>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</si>
  <si>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</si>
  <si>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</si>
  <si>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</si>
  <si>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</si>
  <si>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</si>
  <si>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</si>
  <si>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</si>
  <si>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</si>
  <si>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</si>
  <si>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</si>
  <si>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</si>
  <si>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</si>
  <si>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</si>
  <si>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</si>
  <si>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</si>
  <si>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</si>
  <si>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</si>
  <si>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</si>
  <si>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</si>
  <si>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</si>
  <si>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</si>
  <si>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</si>
  <si>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</si>
  <si>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</si>
  <si>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</si>
  <si>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</si>
  <si>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</si>
  <si>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</si>
  <si>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</si>
  <si>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</si>
  <si>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</si>
  <si>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</si>
  <si>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</si>
  <si>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</si>
  <si>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</si>
  <si>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</si>
  <si>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</si>
  <si>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</si>
  <si>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</si>
  <si>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</si>
  <si>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</si>
  <si>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</si>
  <si>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</si>
  <si>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</si>
  <si>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</si>
  <si>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</si>
  <si>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</si>
  <si>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</si>
  <si>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</si>
  <si>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</si>
  <si>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</si>
  <si>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</si>
  <si>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</si>
  <si>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</si>
  <si>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</si>
  <si>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</si>
  <si>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</si>
  <si>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</si>
  <si>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</si>
  <si>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</si>
  <si>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</si>
  <si>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</si>
  <si>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</si>
  <si>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</si>
  <si>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</si>
  <si>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</si>
  <si>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</si>
  <si>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</si>
  <si>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</si>
  <si>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</si>
  <si>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</si>
  <si>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</si>
  <si>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</si>
  <si>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</si>
  <si>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</si>
  <si>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</si>
  <si>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</si>
  <si>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</si>
  <si>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</si>
  <si>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</si>
  <si>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</si>
  <si>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</si>
  <si>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</si>
  <si>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</si>
  <si>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</si>
  <si>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</si>
  <si>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</si>
  <si>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</si>
  <si>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</si>
  <si>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</si>
  <si>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</si>
  <si>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</si>
  <si>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</si>
  <si>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</si>
  <si>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</si>
  <si>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</si>
  <si>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</si>
  <si>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</si>
  <si>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</si>
  <si>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</si>
  <si>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</si>
  <si>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</si>
  <si>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</si>
  <si>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</si>
  <si>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</si>
  <si>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</si>
  <si>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</si>
  <si>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</si>
  <si>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</si>
  <si>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</si>
  <si>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</si>
  <si>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</si>
  <si>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</si>
  <si>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</si>
  <si>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</si>
  <si>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</si>
  <si>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</si>
  <si>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</si>
  <si>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</si>
  <si>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</si>
  <si>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</si>
  <si>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</si>
  <si>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</si>
  <si>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</si>
  <si>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</si>
  <si>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</si>
  <si>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</si>
  <si>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</si>
  <si>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</si>
  <si>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</si>
  <si>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</si>
  <si>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</si>
  <si>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</si>
  <si>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</si>
  <si>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</si>
  <si>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</si>
  <si>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</si>
  <si>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</si>
  <si>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</si>
  <si>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</si>
  <si>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</si>
  <si>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</si>
  <si>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</si>
  <si>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</si>
  <si>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</si>
  <si>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</si>
  <si>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</si>
  <si>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</si>
  <si>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</si>
  <si>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</si>
  <si>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</si>
  <si>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</si>
  <si>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</si>
  <si>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</si>
  <si>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</si>
  <si>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</si>
  <si>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</si>
  <si>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</si>
  <si>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</si>
  <si>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</si>
  <si>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</si>
  <si>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</si>
  <si>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</si>
  <si>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</si>
  <si>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</si>
  <si>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</si>
  <si>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</si>
  <si>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</si>
  <si>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</si>
  <si>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</si>
  <si>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</si>
  <si>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</si>
  <si>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</si>
  <si>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</si>
  <si>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</si>
  <si>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</si>
  <si>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</si>
  <si>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</si>
  <si>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</si>
  <si>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</si>
  <si>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</si>
  <si>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</si>
  <si>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</si>
  <si>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</si>
  <si>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</si>
  <si>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</si>
  <si>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</si>
  <si>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</si>
  <si>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</si>
  <si>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</si>
  <si>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</si>
  <si>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</si>
  <si>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</si>
  <si>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</si>
  <si>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</si>
  <si>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</si>
  <si>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</si>
  <si>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</si>
  <si>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</si>
  <si>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</si>
  <si>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</si>
  <si>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</si>
  <si>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</si>
  <si>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</si>
  <si>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</si>
  <si>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</si>
  <si>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</si>
  <si>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</si>
  <si>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</si>
  <si>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</si>
  <si>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</si>
  <si>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</si>
  <si>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</si>
  <si>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</si>
  <si>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</si>
  <si>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</si>
  <si>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</si>
  <si>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</si>
  <si>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</si>
  <si>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</si>
  <si>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</si>
  <si>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</si>
  <si>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</si>
  <si>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</si>
  <si>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</si>
  <si>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</si>
  <si>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</si>
  <si>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</si>
  <si>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</si>
  <si>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</si>
  <si>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</si>
  <si>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</si>
  <si>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</si>
  <si>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</si>
  <si>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</si>
  <si>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</si>
  <si>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</si>
  <si>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</si>
  <si>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</si>
  <si>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</si>
  <si>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</si>
  <si>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</si>
  <si>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</si>
  <si>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</si>
  <si>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</si>
  <si>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</si>
  <si>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</si>
  <si>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</si>
  <si>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</si>
  <si>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</si>
  <si>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</si>
  <si>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</si>
  <si>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</si>
  <si>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</si>
  <si>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</si>
  <si>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</si>
  <si>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</si>
  <si>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</si>
  <si>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</si>
  <si>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</si>
  <si>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</si>
  <si>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</si>
  <si>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</si>
  <si>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</si>
  <si>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</si>
  <si>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</si>
  <si>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</si>
  <si>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</si>
  <si>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</si>
  <si>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</si>
  <si>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</si>
  <si>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</si>
  <si>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</si>
  <si>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</si>
  <si>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</si>
  <si>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</si>
  <si>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</si>
  <si>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</si>
  <si>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</si>
  <si>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</si>
  <si>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</si>
  <si>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</si>
  <si>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</si>
  <si>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</si>
  <si>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</si>
  <si>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</si>
  <si>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</si>
  <si>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</si>
  <si>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</si>
  <si>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</si>
  <si>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</si>
  <si>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</si>
  <si>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</si>
  <si>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</si>
  <si>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</si>
  <si>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</si>
  <si>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</si>
  <si>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</si>
  <si>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</si>
  <si>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</si>
  <si>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</si>
  <si>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</si>
  <si>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</si>
  <si>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</si>
  <si>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</si>
  <si>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</si>
  <si>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</si>
  <si>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</si>
  <si>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</si>
  <si>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</si>
  <si>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</si>
  <si>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</si>
  <si>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</si>
  <si>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</si>
  <si>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</si>
  <si>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</si>
  <si>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</si>
  <si>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</si>
  <si>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</si>
  <si>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</si>
  <si>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</si>
  <si>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</si>
  <si>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</si>
  <si>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</si>
  <si>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</si>
  <si>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</si>
  <si>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</si>
  <si>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</si>
  <si>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</si>
  <si>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</si>
  <si>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</si>
  <si>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</si>
  <si>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</si>
  <si>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</si>
  <si>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</si>
  <si>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</si>
  <si>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</si>
  <si>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</si>
  <si>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</si>
  <si>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</si>
  <si>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</si>
  <si>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</si>
  <si>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</si>
  <si>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</si>
  <si>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</si>
  <si>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</si>
  <si>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</si>
  <si>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</si>
  <si>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</si>
  <si>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</si>
  <si>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</si>
  <si>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</si>
  <si>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</si>
  <si>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</si>
  <si>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</si>
  <si>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</si>
  <si>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</si>
  <si>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</si>
  <si>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</si>
  <si>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</si>
  <si>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</si>
  <si>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</si>
  <si>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</si>
  <si>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</si>
  <si>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</si>
  <si>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</si>
  <si>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</si>
  <si>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</si>
  <si>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</si>
  <si>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</si>
  <si>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</si>
  <si>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</si>
  <si>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</si>
  <si>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</si>
  <si>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</si>
  <si>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</si>
  <si>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</si>
  <si>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</si>
  <si>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</si>
  <si>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</si>
  <si>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</si>
  <si>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</si>
  <si>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</si>
  <si>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</si>
  <si>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</si>
  <si>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</si>
  <si>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</si>
  <si>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</si>
  <si>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</si>
  <si>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</si>
  <si>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</si>
  <si>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</si>
  <si>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</si>
  <si>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</si>
  <si>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</si>
  <si>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</si>
  <si>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</si>
  <si>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</si>
  <si>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</si>
  <si>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</si>
  <si>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</si>
  <si>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</si>
  <si>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</si>
  <si>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</si>
  <si>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</si>
  <si>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</si>
  <si>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</si>
  <si>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</si>
  <si>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</si>
  <si>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</si>
  <si>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</si>
  <si>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</si>
  <si>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</si>
  <si>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</si>
  <si>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</si>
  <si>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</si>
  <si>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</si>
  <si>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</si>
  <si>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</si>
  <si>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</si>
  <si>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</si>
  <si>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</si>
  <si>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</si>
  <si>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</si>
  <si>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</si>
  <si>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</si>
  <si>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</si>
  <si>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</si>
  <si>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</si>
  <si>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</si>
  <si>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</si>
  <si>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</si>
  <si>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</si>
  <si>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</si>
  <si>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</si>
  <si>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</si>
  <si>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</si>
  <si>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</si>
  <si>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</si>
  <si>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</si>
  <si>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</si>
  <si>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</si>
  <si>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</si>
  <si>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</si>
  <si>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</si>
  <si>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</si>
  <si>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</si>
  <si>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</si>
  <si>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</si>
  <si>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</si>
  <si>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</si>
  <si>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</si>
  <si>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</si>
  <si>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</si>
  <si>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</si>
  <si>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</si>
  <si>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</si>
  <si>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</si>
  <si>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</si>
  <si>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</si>
  <si>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</si>
  <si>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</si>
  <si>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</si>
  <si>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</si>
  <si>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</si>
  <si>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</si>
  <si>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</si>
  <si>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</si>
  <si>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</si>
  <si>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</si>
  <si>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</si>
  <si>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</si>
  <si>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</si>
  <si>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</si>
  <si>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</si>
  <si>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</si>
  <si>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</si>
  <si>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</si>
  <si>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</si>
  <si>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</si>
  <si>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</si>
  <si>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</si>
  <si>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</si>
  <si>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</si>
  <si>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</si>
  <si>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</si>
  <si>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</si>
  <si>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</si>
  <si>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</si>
  <si>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</si>
  <si>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</si>
  <si>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</si>
  <si>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</si>
  <si>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</si>
  <si>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</si>
  <si>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</si>
  <si>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</si>
  <si>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</si>
  <si>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</si>
  <si>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</si>
  <si>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</si>
  <si>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</si>
  <si>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</si>
  <si>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</si>
  <si>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</si>
  <si>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</si>
  <si>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</si>
  <si>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</si>
  <si>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</si>
  <si>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</si>
  <si>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</si>
  <si>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</si>
  <si>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</si>
  <si>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</si>
  <si>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</si>
  <si>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</si>
  <si>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</si>
  <si>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</si>
  <si>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</si>
  <si>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</si>
  <si>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</si>
  <si>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</si>
  <si>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</si>
  <si>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</si>
  <si>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</si>
  <si>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</si>
  <si>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</si>
  <si>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</si>
  <si>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</si>
  <si>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</si>
  <si>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</si>
  <si>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</si>
  <si>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</si>
  <si>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</si>
  <si>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</si>
  <si>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</si>
  <si>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</si>
  <si>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</si>
  <si>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</si>
  <si>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</si>
  <si>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</si>
  <si>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</si>
  <si>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</si>
  <si>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</si>
  <si>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</si>
  <si>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</si>
  <si>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</si>
  <si>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</si>
  <si>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</si>
  <si>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</si>
  <si>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</si>
  <si>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</si>
  <si>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</si>
  <si>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</si>
  <si>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</si>
  <si>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</si>
  <si>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</si>
  <si>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</si>
  <si>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</si>
  <si>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</si>
  <si>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</si>
  <si>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</si>
  <si>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</si>
  <si>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</si>
  <si>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</si>
  <si>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</si>
  <si>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</si>
  <si>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</si>
  <si>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</si>
  <si>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</si>
  <si>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</si>
  <si>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</si>
  <si>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</si>
  <si>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</si>
  <si>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</si>
  <si>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</si>
  <si>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</si>
  <si>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</si>
  <si>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</si>
  <si>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</si>
  <si>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</si>
  <si>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</si>
  <si>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</si>
  <si>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</si>
  <si>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</si>
  <si>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</si>
  <si>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</si>
  <si>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</si>
  <si>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</si>
  <si>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</si>
  <si>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</si>
  <si>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</si>
  <si>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</si>
  <si>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</si>
  <si>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</si>
  <si>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</si>
  <si>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</si>
  <si>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</si>
  <si>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</si>
  <si>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</si>
  <si>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</si>
  <si>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</si>
  <si>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</si>
  <si>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</si>
  <si>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</si>
  <si>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</si>
  <si>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</si>
  <si>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</si>
  <si>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</si>
  <si>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</si>
  <si>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</si>
  <si>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</si>
  <si>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</si>
  <si>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</si>
  <si>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</si>
  <si>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</si>
  <si>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</si>
  <si>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</si>
  <si>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</si>
  <si>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</si>
  <si>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</si>
  <si>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</si>
  <si>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</si>
  <si>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</si>
  <si>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</si>
  <si>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</si>
  <si>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</si>
  <si>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</si>
  <si>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</si>
  <si>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</si>
  <si>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</si>
  <si>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</si>
  <si>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</si>
  <si>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</si>
  <si>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</si>
  <si>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</si>
  <si>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</si>
  <si>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</si>
  <si>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</si>
  <si>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</si>
  <si>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</si>
  <si>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</si>
  <si>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</si>
  <si>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</si>
  <si>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</si>
  <si>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</si>
  <si>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</si>
  <si>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</si>
  <si>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</si>
  <si>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</si>
  <si>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</si>
  <si>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</si>
  <si>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</si>
  <si>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</si>
  <si>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</si>
  <si>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</si>
  <si>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</si>
  <si>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</si>
  <si>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</si>
  <si>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</si>
  <si>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</si>
  <si>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</si>
  <si>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</si>
  <si>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</si>
  <si>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</si>
  <si>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</si>
  <si>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</si>
  <si>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</si>
  <si>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</si>
  <si>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</si>
  <si>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</si>
  <si>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</si>
  <si>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</si>
  <si>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</si>
  <si>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</si>
  <si>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</si>
  <si>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</si>
  <si>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</si>
  <si>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</si>
  <si>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</si>
  <si>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</si>
  <si>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</si>
  <si>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</si>
  <si>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</si>
  <si>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</si>
  <si>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</si>
  <si>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</si>
  <si>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</si>
  <si>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</si>
  <si>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</si>
  <si>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</si>
  <si>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</si>
  <si>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</si>
  <si>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</si>
  <si>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</si>
  <si>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</si>
  <si>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</si>
  <si>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</si>
  <si>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</si>
  <si>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</si>
  <si>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</si>
  <si>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</si>
  <si>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</si>
  <si>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</si>
  <si>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</si>
  <si>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</si>
  <si>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</si>
  <si>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</si>
  <si>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</si>
  <si>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</si>
  <si>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</si>
  <si>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</si>
  <si>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</si>
  <si>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</si>
  <si>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</si>
  <si>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</si>
  <si>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</si>
  <si>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</si>
  <si>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</si>
  <si>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</si>
  <si>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</si>
  <si>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</si>
  <si>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</si>
  <si>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</si>
  <si>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</si>
  <si>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</si>
  <si>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</si>
  <si>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</si>
  <si>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</si>
  <si>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</si>
  <si>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</si>
  <si>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</si>
  <si>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</si>
  <si>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</si>
  <si>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</si>
  <si>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</si>
  <si>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</si>
  <si>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</si>
  <si>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</si>
  <si>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</si>
  <si>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</si>
  <si>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</si>
  <si>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</si>
  <si>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</si>
  <si>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</si>
  <si>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</si>
  <si>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</si>
  <si>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</si>
  <si>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</si>
  <si>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</si>
  <si>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</si>
  <si>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</si>
  <si>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</si>
  <si>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</si>
  <si>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</si>
  <si>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</si>
  <si>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</si>
  <si>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</si>
  <si>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</si>
  <si>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</si>
  <si>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</si>
  <si>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</si>
  <si>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</si>
  <si>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</si>
  <si>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</si>
  <si>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</si>
  <si>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</si>
  <si>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</si>
  <si>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</si>
  <si>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</si>
  <si>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</si>
  <si>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</si>
  <si>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</si>
  <si>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</si>
  <si>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</si>
  <si>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</si>
  <si>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</si>
  <si>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</si>
  <si>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</si>
  <si>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</si>
  <si>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</si>
  <si>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</si>
  <si>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</si>
  <si>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</si>
  <si>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</si>
  <si>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</si>
  <si>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</si>
  <si>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</si>
  <si>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</si>
  <si>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</si>
  <si>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</si>
  <si>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</si>
  <si>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</si>
  <si>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</si>
  <si>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</si>
  <si>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</si>
  <si>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</si>
  <si>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</si>
  <si>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</si>
  <si>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</si>
  <si>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</si>
  <si>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</si>
  <si>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</si>
  <si>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</si>
  <si>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</si>
  <si>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</si>
  <si>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</si>
  <si>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</si>
  <si>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</si>
  <si>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</si>
  <si>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</si>
  <si>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</si>
  <si>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</si>
  <si>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</si>
  <si>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</si>
  <si>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</si>
  <si>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</si>
  <si>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</si>
  <si>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</si>
  <si>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</si>
  <si>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</si>
  <si>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</si>
  <si>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</si>
  <si>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</si>
  <si>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</si>
  <si>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</si>
  <si>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</si>
  <si>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</si>
  <si>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</si>
  <si>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</si>
  <si>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</si>
  <si>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</si>
  <si>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</si>
  <si>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</si>
  <si>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</si>
  <si>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</si>
  <si>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</si>
  <si>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</si>
  <si>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</si>
  <si>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</si>
  <si>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</si>
  <si>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</si>
  <si>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</si>
  <si>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</si>
  <si>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</si>
  <si>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</si>
  <si>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</si>
  <si>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</si>
  <si>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</si>
  <si>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</si>
  <si>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</si>
  <si>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</si>
  <si>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</si>
  <si>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</si>
  <si>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</si>
  <si>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</si>
  <si>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</si>
  <si>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</si>
  <si>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</si>
  <si>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</si>
  <si>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</si>
  <si>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</si>
  <si>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</si>
  <si>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</si>
  <si>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</si>
  <si>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</si>
  <si>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</si>
  <si>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</si>
  <si>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</si>
  <si>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</si>
  <si>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</si>
  <si>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</si>
  <si>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</si>
  <si>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</si>
  <si>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</si>
  <si>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</si>
  <si>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</si>
  <si>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</si>
  <si>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</si>
  <si>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</si>
  <si>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</si>
  <si>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</si>
  <si>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</si>
  <si>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</si>
  <si>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</si>
  <si>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</si>
  <si>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</si>
  <si>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</si>
  <si>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</si>
  <si>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</si>
  <si>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</si>
  <si>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</si>
  <si>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</si>
  <si>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</si>
  <si>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</si>
  <si>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</si>
  <si>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</si>
  <si>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</si>
  <si>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</si>
  <si>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</si>
  <si>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</si>
  <si>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</si>
  <si>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</si>
  <si>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</si>
  <si>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</si>
  <si>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</si>
  <si>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</si>
  <si>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</si>
  <si>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</si>
  <si>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</si>
  <si>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</si>
  <si>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</si>
  <si>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</si>
  <si>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</si>
  <si>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</si>
  <si>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</si>
  <si>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</si>
  <si>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</si>
  <si>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</si>
  <si>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</si>
  <si>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</si>
  <si>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</si>
  <si>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</si>
  <si>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</si>
  <si>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</si>
  <si>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</si>
  <si>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</si>
  <si>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</si>
  <si>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</si>
  <si>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</si>
  <si>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</si>
  <si>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</si>
  <si>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</si>
  <si>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</si>
  <si>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</si>
  <si>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</si>
  <si>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</si>
  <si>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</si>
  <si>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</si>
  <si>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</si>
  <si>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</si>
  <si>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</si>
  <si>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</si>
  <si>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</si>
  <si>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</si>
  <si>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</si>
  <si>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</si>
  <si>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</si>
  <si>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</si>
  <si>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</si>
  <si>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</si>
  <si>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</si>
  <si>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</si>
  <si>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</si>
  <si>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</si>
  <si>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</si>
  <si>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</si>
  <si>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</si>
  <si>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</si>
  <si>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</si>
  <si>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</si>
  <si>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</si>
  <si>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</si>
  <si>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</si>
  <si>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</si>
  <si>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</si>
  <si>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</si>
  <si>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</si>
  <si>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</si>
  <si>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</si>
  <si>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</si>
  <si>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</si>
  <si>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</si>
  <si>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</si>
  <si>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</si>
  <si>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</si>
  <si>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</si>
  <si>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</si>
  <si>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</si>
  <si>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</si>
  <si>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</si>
  <si>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</si>
  <si>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</si>
  <si>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</si>
  <si>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</si>
  <si>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</si>
  <si>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</si>
  <si>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</si>
  <si>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</si>
  <si>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</si>
  <si>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</si>
  <si>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</si>
  <si>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</si>
  <si>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</si>
  <si>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</si>
  <si>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</si>
  <si>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</si>
  <si>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</si>
  <si>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</si>
  <si>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</si>
  <si>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</si>
  <si>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</si>
  <si>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</si>
  <si>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</si>
  <si>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</si>
  <si>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</si>
  <si>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</si>
  <si>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</si>
  <si>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</si>
  <si>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</si>
  <si>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</si>
  <si>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</si>
  <si>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</si>
  <si>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</si>
  <si>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</si>
  <si>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</si>
  <si>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</si>
  <si>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</si>
  <si>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</si>
  <si>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</si>
  <si>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</si>
  <si>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</si>
  <si>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</si>
  <si>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</si>
  <si>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</si>
  <si>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</si>
  <si>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</si>
  <si>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</si>
  <si>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</si>
  <si>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</si>
  <si>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</si>
  <si>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</si>
  <si>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</si>
  <si>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</si>
  <si>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</si>
  <si>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</si>
  <si>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</si>
  <si>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</si>
  <si>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</si>
  <si>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</si>
  <si>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</si>
  <si>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</si>
  <si>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</si>
  <si>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</si>
  <si>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</si>
  <si>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</si>
  <si>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</si>
  <si>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</si>
  <si>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</si>
  <si>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</si>
  <si>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</si>
  <si>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</si>
  <si>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</si>
  <si>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</si>
  <si>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</si>
  <si>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</si>
  <si>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</si>
  <si>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</si>
  <si>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</si>
  <si>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</si>
  <si>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</si>
  <si>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</si>
  <si>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</si>
  <si>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</si>
  <si>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</si>
  <si>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</si>
  <si>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</si>
  <si>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</si>
  <si>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</si>
  <si>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</si>
  <si>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</si>
  <si>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</si>
  <si>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</si>
  <si>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</si>
  <si>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</si>
  <si>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</si>
  <si>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</si>
  <si>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</si>
  <si>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</si>
  <si>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</si>
  <si>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</si>
  <si>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</si>
  <si>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</si>
  <si>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</si>
  <si>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</si>
  <si>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</si>
  <si>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</si>
  <si>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</si>
  <si>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</si>
  <si>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</si>
  <si>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</si>
  <si>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</si>
  <si>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</si>
  <si>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</si>
  <si>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</si>
  <si>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</si>
  <si>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</si>
  <si>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</si>
  <si>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</si>
  <si>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</si>
  <si>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</si>
  <si>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</si>
  <si>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</si>
  <si>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</si>
  <si>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</si>
  <si>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</si>
  <si>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</si>
  <si>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</si>
  <si>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</si>
  <si>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</si>
  <si>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</si>
  <si>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</si>
  <si>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</si>
  <si>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</si>
  <si>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</si>
  <si>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</si>
  <si>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</si>
  <si>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</si>
  <si>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</si>
  <si>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</si>
  <si>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</si>
  <si>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</si>
  <si>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</si>
  <si>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</si>
  <si>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</si>
  <si>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</si>
  <si>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</si>
  <si>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</si>
  <si>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</si>
  <si>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</si>
  <si>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</si>
  <si>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</si>
  <si>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</si>
  <si>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</si>
  <si>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</si>
  <si>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</si>
  <si>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</si>
  <si>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</si>
  <si>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</si>
  <si>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</si>
  <si>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</si>
  <si>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</si>
  <si>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</si>
  <si>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</si>
  <si>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</si>
  <si>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</si>
  <si>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</si>
  <si>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</si>
  <si>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</si>
  <si>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</si>
  <si>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</si>
  <si>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</si>
  <si>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</si>
  <si>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</si>
  <si>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</si>
  <si>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</si>
  <si>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</si>
  <si>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</si>
  <si>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</si>
  <si>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</si>
  <si>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</si>
  <si>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</si>
  <si>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</si>
  <si>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</si>
  <si>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</si>
  <si>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</si>
  <si>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</si>
  <si>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</si>
  <si>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</si>
  <si>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</si>
  <si>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</si>
  <si>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</si>
  <si>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</si>
  <si>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</si>
  <si>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</si>
  <si>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</si>
  <si>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</si>
  <si>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</si>
  <si>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</si>
  <si>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</si>
  <si>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</si>
  <si>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</si>
  <si>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</si>
  <si>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</si>
  <si>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</si>
  <si>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</si>
  <si>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</si>
  <si>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</si>
  <si>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</si>
  <si>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</si>
  <si>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</si>
  <si>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</si>
  <si>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</si>
  <si>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</si>
  <si>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</si>
  <si>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</si>
  <si>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</si>
  <si>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</si>
  <si>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</si>
  <si>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</si>
  <si>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</si>
  <si>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</si>
  <si>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</si>
  <si>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</si>
  <si>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</si>
  <si>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</si>
  <si>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</si>
  <si>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</si>
  <si>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</si>
  <si>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</si>
  <si>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</si>
  <si>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</si>
  <si>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</si>
  <si>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</si>
  <si>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</si>
  <si>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</si>
  <si>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</si>
  <si>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</si>
  <si>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</si>
  <si>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</si>
  <si>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</si>
  <si>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</si>
  <si>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</si>
  <si>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</si>
  <si>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</si>
  <si>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</si>
  <si>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</si>
  <si>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</si>
  <si>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</si>
  <si>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</si>
  <si>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</si>
  <si>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</si>
  <si>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</si>
  <si>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</si>
  <si>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</si>
  <si>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</si>
  <si>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</si>
  <si>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</si>
  <si>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</si>
  <si>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</si>
  <si>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</si>
  <si>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</si>
  <si>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</si>
  <si>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</si>
  <si>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</si>
  <si>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</si>
  <si>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</si>
  <si>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</si>
  <si>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</si>
  <si>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</si>
  <si>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</si>
  <si>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</si>
  <si>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</si>
  <si>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</si>
  <si>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</si>
  <si>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</si>
  <si>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</si>
  <si>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</si>
  <si>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</si>
  <si>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</si>
  <si>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</si>
  <si>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</si>
  <si>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</si>
  <si>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</si>
  <si>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</si>
  <si>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</si>
  <si>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</si>
  <si>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</si>
  <si>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</si>
  <si>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</si>
  <si>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</si>
  <si>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</si>
  <si>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</si>
  <si>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</si>
  <si>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</si>
  <si>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</si>
  <si>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</si>
  <si>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</si>
  <si>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</si>
  <si>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</si>
  <si>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</si>
  <si>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</si>
  <si>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</si>
  <si>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</si>
  <si>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</si>
  <si>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</si>
  <si>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</si>
  <si>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</si>
  <si>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</si>
  <si>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</si>
  <si>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</si>
  <si>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</si>
  <si>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</si>
  <si>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</si>
  <si>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</si>
  <si>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</si>
  <si>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</si>
  <si>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</si>
  <si>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</si>
  <si>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</si>
  <si>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</si>
  <si>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</si>
  <si>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</si>
  <si>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</si>
  <si>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</si>
  <si>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</si>
  <si>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</si>
  <si>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</si>
  <si>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</si>
  <si>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</si>
  <si>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</si>
  <si>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</si>
  <si>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</si>
  <si>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</si>
  <si>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</si>
  <si>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</si>
  <si>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</si>
  <si>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</si>
  <si>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</si>
  <si>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</si>
  <si>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</si>
  <si>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</si>
  <si>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</si>
  <si>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</si>
  <si>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</si>
  <si>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</si>
  <si>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</si>
  <si>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</si>
  <si>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</si>
  <si>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</si>
  <si>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</si>
  <si>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</si>
  <si>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</si>
  <si>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</si>
  <si>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</si>
  <si>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</si>
  <si>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</si>
  <si>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</si>
  <si>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</si>
  <si>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</si>
  <si>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</si>
  <si>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</si>
  <si>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</si>
  <si>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</si>
  <si>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</si>
  <si>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</si>
  <si>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</si>
  <si>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</si>
  <si>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</si>
  <si>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</si>
  <si>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</si>
  <si>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</si>
  <si>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</si>
  <si>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</si>
  <si>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</si>
  <si>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</si>
  <si>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</si>
  <si>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</si>
  <si>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</si>
  <si>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</si>
  <si>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</si>
  <si>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</si>
  <si>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</si>
  <si>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</si>
  <si>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</si>
  <si>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</si>
  <si>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</si>
  <si>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</si>
  <si>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</si>
  <si>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</si>
  <si>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</si>
  <si>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</si>
  <si>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</si>
  <si>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</si>
  <si>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</si>
  <si>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</si>
  <si>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</si>
  <si>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</si>
  <si>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</si>
  <si>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</si>
  <si>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</si>
  <si>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</si>
  <si>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</si>
  <si>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</si>
  <si>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</si>
  <si>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</si>
  <si>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</si>
  <si>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</si>
  <si>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</si>
  <si>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</si>
  <si>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</si>
  <si>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</si>
  <si>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</si>
  <si>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</si>
  <si>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</si>
  <si>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</si>
  <si>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</si>
  <si>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</si>
  <si>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</si>
  <si>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</si>
  <si>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</si>
  <si>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</si>
  <si>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</si>
  <si>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</si>
  <si>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</si>
  <si>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</si>
  <si>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</si>
  <si>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</si>
  <si>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</si>
  <si>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</si>
  <si>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</si>
  <si>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</si>
  <si>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</si>
  <si>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</si>
  <si>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</si>
  <si>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</si>
  <si>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</si>
  <si>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</si>
  <si>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</si>
  <si>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</si>
  <si>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</si>
  <si>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</si>
  <si>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</si>
  <si>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</si>
  <si>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</si>
  <si>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</si>
  <si>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</si>
  <si>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</si>
  <si>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</si>
  <si>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</si>
  <si>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</si>
  <si>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</si>
  <si>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</si>
  <si>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</si>
  <si>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</si>
  <si>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</si>
  <si>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</si>
  <si>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</si>
  <si>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</si>
  <si>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</si>
  <si>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</si>
  <si>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</si>
  <si>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</si>
  <si>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</si>
  <si>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</si>
  <si>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</si>
  <si>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</si>
  <si>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</si>
  <si>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</si>
  <si>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</si>
  <si>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</si>
  <si>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</si>
  <si>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</si>
  <si>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</si>
  <si>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</si>
  <si>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</si>
  <si>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</si>
  <si>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</si>
  <si>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</si>
  <si>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</si>
  <si>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</si>
  <si>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</si>
  <si>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</si>
  <si>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</si>
  <si>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</si>
  <si>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</si>
  <si>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</si>
  <si>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</si>
  <si>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</si>
  <si>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</si>
  <si>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</si>
  <si>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</si>
  <si>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</si>
  <si>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</si>
  <si>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</si>
  <si>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</si>
  <si>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</si>
  <si>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</si>
  <si>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</si>
  <si>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</si>
  <si>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</si>
  <si>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</si>
  <si>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</si>
  <si>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</si>
  <si>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</si>
  <si>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</si>
  <si>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</si>
  <si>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</si>
  <si>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</si>
  <si>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</si>
  <si>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</si>
  <si>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</si>
  <si>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</si>
  <si>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</si>
  <si>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</si>
  <si>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</si>
  <si>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</si>
  <si>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</si>
  <si>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</si>
  <si>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</si>
  <si>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</si>
  <si>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</si>
  <si>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</si>
  <si>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</si>
  <si>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</si>
  <si>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</si>
  <si>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</si>
  <si>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</si>
  <si>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</si>
  <si>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</si>
  <si>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</si>
  <si>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</si>
  <si>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</si>
  <si>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</si>
  <si>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</si>
  <si>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</si>
  <si>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</si>
  <si>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</si>
  <si>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</si>
  <si>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</si>
  <si>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</si>
  <si>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</si>
  <si>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</si>
  <si>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</si>
  <si>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</si>
  <si>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</si>
  <si>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</si>
  <si>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</si>
  <si>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</si>
  <si>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</si>
  <si>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</si>
  <si>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</si>
  <si>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</si>
  <si>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</si>
  <si>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</si>
  <si>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</si>
  <si>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</si>
  <si>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</si>
  <si>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</si>
  <si>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</si>
  <si>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</si>
  <si>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</si>
  <si>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</si>
  <si>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</si>
  <si>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</si>
  <si>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</si>
  <si>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</si>
  <si>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</si>
  <si>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</si>
  <si>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</si>
  <si>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</si>
  <si>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</si>
  <si>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</si>
  <si>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</si>
  <si>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</si>
  <si>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</si>
  <si>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</si>
  <si>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</si>
  <si>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</si>
  <si>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</si>
  <si>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</si>
  <si>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</si>
  <si>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</si>
  <si>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</si>
  <si>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</si>
  <si>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</si>
  <si>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</si>
  <si>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</si>
  <si>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</si>
  <si>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</si>
  <si>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</si>
  <si>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</si>
  <si>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</si>
  <si>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</si>
  <si>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</si>
  <si>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</si>
  <si>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</si>
  <si>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</si>
  <si>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</si>
  <si>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</si>
  <si>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</si>
  <si>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</si>
  <si>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</si>
  <si>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</si>
  <si>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</si>
  <si>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</si>
  <si>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</si>
  <si>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</si>
  <si>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</si>
  <si>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</si>
  <si>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</si>
  <si>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</si>
  <si>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</si>
  <si>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</si>
  <si>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</si>
  <si>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</si>
  <si>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</si>
  <si>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</si>
  <si>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</si>
  <si>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</si>
  <si>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</si>
  <si>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</si>
  <si>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</si>
  <si>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</si>
  <si>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</si>
  <si>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</si>
  <si>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</si>
  <si>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</si>
  <si>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</si>
  <si>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</si>
  <si>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</si>
  <si>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</si>
  <si>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</si>
  <si>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</si>
  <si>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</si>
  <si>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</si>
  <si>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</si>
  <si>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</si>
  <si>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</si>
  <si>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</si>
  <si>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</si>
  <si>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</si>
  <si>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</si>
  <si>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</si>
  <si>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</si>
  <si>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</si>
  <si>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</si>
  <si>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</si>
  <si>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</si>
  <si>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</si>
  <si>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</si>
  <si>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</si>
  <si>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</si>
  <si>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</si>
  <si>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</si>
  <si>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</si>
  <si>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</si>
  <si>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</si>
  <si>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</si>
  <si>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</si>
  <si>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</si>
  <si>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</si>
  <si>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</si>
  <si>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</si>
  <si>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</si>
  <si>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</si>
  <si>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</si>
  <si>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</si>
  <si>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</si>
  <si>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</si>
  <si>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</si>
  <si>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</si>
  <si>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</si>
  <si>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</si>
  <si>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</si>
  <si>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</si>
  <si>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</si>
  <si>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</si>
  <si>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</si>
  <si>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</si>
  <si>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</si>
  <si>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</si>
  <si>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</si>
  <si>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</si>
  <si>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</si>
  <si>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</si>
  <si>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</si>
  <si>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</si>
  <si>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</si>
  <si>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</si>
  <si>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</si>
  <si>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</si>
  <si>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</si>
  <si>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</si>
  <si>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</si>
  <si>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</si>
  <si>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</si>
  <si>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</si>
  <si>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</si>
  <si>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</si>
  <si>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</si>
  <si>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</si>
  <si>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</si>
  <si>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</si>
  <si>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</si>
  <si>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</si>
  <si>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</si>
  <si>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</si>
  <si>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</si>
  <si>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</si>
  <si>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</si>
  <si>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</si>
  <si>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</si>
  <si>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</si>
  <si>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</si>
  <si>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</si>
  <si>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</si>
  <si>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</si>
  <si>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</si>
  <si>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</si>
  <si>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</si>
  <si>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</si>
  <si>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</si>
  <si>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</si>
  <si>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</si>
  <si>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</si>
  <si>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</si>
  <si>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</si>
  <si>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</si>
  <si>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</si>
  <si>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</si>
  <si>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</si>
  <si>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</si>
  <si>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</si>
  <si>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</si>
  <si>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</si>
  <si>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</si>
  <si>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</si>
  <si>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</si>
  <si>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</si>
  <si>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</si>
  <si>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</si>
  <si>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</si>
  <si>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</si>
  <si>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</si>
  <si>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</si>
  <si>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</si>
  <si>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</si>
  <si>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</si>
  <si>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</si>
  <si>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</si>
  <si>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</si>
  <si>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</si>
  <si>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</si>
  <si>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</si>
  <si>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</si>
  <si>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</si>
  <si>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</si>
  <si>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</si>
  <si>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</si>
  <si>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</si>
  <si>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</si>
  <si>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</si>
  <si>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</si>
  <si>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</si>
  <si>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</si>
  <si>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</si>
  <si>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</si>
  <si>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</si>
  <si>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</si>
  <si>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</si>
  <si>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</si>
  <si>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</si>
  <si>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</si>
  <si>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</si>
  <si>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</si>
  <si>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</si>
  <si>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</si>
  <si>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</si>
  <si>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</si>
  <si>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</si>
  <si>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</si>
  <si>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</si>
  <si>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</si>
  <si>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</si>
  <si>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</si>
  <si>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</si>
  <si>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</si>
  <si>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</si>
  <si>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</si>
  <si>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</si>
  <si>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</si>
  <si>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</si>
  <si>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</si>
  <si>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</si>
  <si>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</si>
  <si>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</si>
  <si>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</si>
  <si>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</si>
  <si>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</si>
  <si>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</si>
  <si>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</si>
  <si>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</si>
  <si>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</si>
  <si>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</si>
  <si>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</si>
  <si>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</si>
  <si>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</si>
  <si>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</si>
  <si>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</si>
  <si>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</si>
  <si>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</si>
  <si>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</si>
  <si>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</si>
  <si>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</si>
  <si>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</si>
  <si>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</si>
  <si>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</si>
  <si>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</si>
  <si>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</si>
  <si>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</si>
  <si>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</si>
  <si>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</si>
  <si>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</si>
  <si>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</si>
  <si>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</si>
  <si>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</si>
  <si>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</si>
  <si>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</si>
  <si>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</si>
  <si>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</si>
  <si>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</si>
  <si>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</si>
  <si>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</si>
  <si>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</si>
  <si>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</si>
  <si>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</si>
  <si>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</si>
  <si>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</si>
  <si>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</si>
  <si>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</si>
  <si>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</si>
  <si>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</si>
  <si>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</si>
  <si>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</si>
  <si>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</si>
  <si>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</si>
  <si>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</si>
  <si>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</si>
  <si>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</si>
  <si>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</si>
  <si>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</si>
  <si>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</si>
  <si>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</si>
  <si>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</si>
  <si>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</si>
  <si>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</si>
  <si>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</si>
  <si>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</si>
  <si>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</si>
  <si>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</si>
  <si>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</si>
  <si>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</si>
  <si>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</si>
  <si>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</si>
  <si>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</si>
  <si>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</si>
  <si>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</si>
  <si>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</si>
  <si>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</si>
  <si>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</si>
  <si>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</si>
  <si>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</si>
  <si>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</si>
  <si>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</si>
  <si>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</si>
  <si>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</si>
  <si>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</si>
  <si>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</si>
  <si>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</si>
  <si>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</si>
  <si>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</si>
  <si>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</si>
  <si>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</si>
  <si>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</si>
  <si>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</si>
  <si>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</si>
  <si>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</si>
  <si>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</si>
  <si>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</si>
  <si>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</si>
  <si>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</si>
  <si>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</si>
  <si>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</si>
  <si>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</si>
  <si>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</si>
  <si>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</si>
  <si>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</si>
  <si>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</si>
  <si>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</si>
  <si>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</si>
  <si>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</si>
  <si>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</si>
  <si>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</si>
  <si>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</si>
  <si>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</si>
  <si>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</si>
  <si>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</si>
  <si>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</si>
  <si>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</si>
  <si>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</si>
  <si>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</si>
  <si>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</si>
  <si>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</si>
  <si>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</si>
  <si>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</si>
  <si>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</si>
  <si>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</si>
  <si>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</si>
  <si>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</si>
  <si>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</si>
  <si>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</si>
  <si>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</si>
  <si>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</si>
  <si>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</si>
  <si>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</si>
  <si>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</si>
  <si>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</si>
  <si>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</si>
  <si>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</si>
  <si>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</si>
  <si>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</si>
  <si>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</si>
  <si>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</si>
  <si>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</si>
  <si>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</si>
  <si>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</si>
  <si>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</si>
  <si>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</si>
  <si>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</si>
  <si>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</si>
  <si>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</si>
  <si>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</si>
  <si>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</si>
  <si>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</si>
  <si>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</si>
  <si>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</si>
  <si>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</si>
  <si>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</si>
  <si>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</si>
  <si>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</si>
  <si>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</si>
  <si>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</si>
  <si>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</si>
  <si>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</si>
  <si>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</si>
  <si>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</si>
  <si>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</si>
  <si>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</si>
  <si>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</si>
  <si>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</si>
  <si>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</si>
  <si>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</si>
  <si>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</si>
  <si>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</si>
  <si>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</si>
  <si>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</si>
  <si>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</si>
  <si>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</si>
  <si>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</si>
  <si>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</si>
  <si>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</si>
  <si>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</si>
  <si>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</si>
  <si>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</si>
  <si>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</si>
  <si>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</si>
  <si>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</si>
  <si>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</si>
  <si>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</si>
  <si>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</si>
  <si>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</si>
  <si>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</si>
  <si>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</si>
  <si>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</si>
  <si>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</si>
  <si>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</si>
  <si>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</si>
  <si>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</si>
  <si>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</si>
  <si>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</si>
  <si>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</si>
  <si>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</si>
  <si>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</si>
  <si>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</si>
  <si>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</si>
  <si>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</si>
  <si>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</si>
  <si>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</si>
  <si>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</si>
  <si>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</si>
  <si>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</si>
  <si>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</si>
  <si>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</si>
  <si>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</si>
  <si>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</si>
  <si>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</si>
  <si>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</si>
  <si>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</si>
  <si>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</si>
  <si>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</si>
  <si>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</si>
  <si>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</si>
  <si>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</si>
  <si>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</si>
  <si>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</si>
  <si>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</si>
  <si>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</si>
  <si>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</si>
  <si>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</si>
  <si>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</si>
  <si>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</si>
  <si>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</si>
  <si>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</si>
  <si>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</si>
  <si>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</si>
  <si>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</si>
  <si>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</si>
  <si>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</si>
  <si>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</si>
  <si>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</si>
  <si>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</si>
  <si>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</si>
  <si>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</si>
  <si>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</si>
  <si>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</si>
  <si>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</si>
  <si>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</si>
  <si>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</si>
  <si>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</si>
  <si>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</si>
  <si>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</si>
  <si>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</si>
  <si>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</si>
  <si>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</si>
  <si>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</si>
  <si>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</si>
  <si>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</si>
  <si>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</si>
  <si>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</si>
  <si>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</si>
  <si>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</si>
  <si>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</si>
  <si>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</si>
  <si>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</si>
  <si>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</si>
  <si>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</si>
  <si>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</si>
  <si>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</si>
  <si>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</si>
  <si>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</si>
  <si>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</si>
  <si>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</si>
  <si>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</si>
  <si>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</si>
  <si>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</si>
  <si>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</si>
  <si>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</si>
  <si>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</si>
  <si>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</si>
  <si>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</si>
  <si>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</si>
  <si>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</si>
  <si>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</si>
  <si>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</si>
  <si>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</si>
  <si>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</si>
  <si>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</si>
  <si>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</si>
  <si>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</si>
  <si>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</si>
  <si>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</si>
  <si>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</si>
  <si>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</si>
  <si>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</si>
  <si>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</si>
  <si>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</si>
  <si>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</si>
  <si>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</si>
  <si>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</si>
  <si>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</si>
  <si>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</si>
  <si>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</si>
  <si>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</si>
  <si>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</si>
  <si>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</si>
  <si>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</si>
  <si>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</si>
  <si>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</si>
  <si>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</si>
  <si>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</si>
  <si>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</si>
  <si>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</si>
  <si>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</si>
  <si>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</si>
  <si>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</si>
  <si>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</si>
  <si>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</si>
  <si>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</si>
  <si>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</si>
  <si>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</si>
  <si>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</si>
  <si>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</si>
  <si>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</si>
  <si>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</si>
  <si>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</si>
  <si>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</si>
  <si>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</si>
  <si>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</si>
  <si>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</si>
  <si>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</si>
  <si>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</si>
  <si>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</si>
  <si>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</si>
  <si>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</si>
  <si>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</si>
  <si>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</si>
  <si>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</si>
  <si>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</si>
  <si>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</si>
  <si>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</si>
  <si>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</si>
  <si>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</si>
  <si>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</si>
  <si>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</si>
  <si>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</si>
  <si>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</si>
  <si>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</si>
  <si>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</si>
  <si>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</si>
  <si>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</si>
  <si>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</si>
  <si>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</si>
  <si>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</si>
  <si>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</si>
  <si>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</si>
  <si>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</si>
  <si>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</si>
  <si>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</si>
  <si>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</si>
  <si>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</si>
  <si>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</si>
  <si>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</si>
  <si>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</si>
  <si>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</si>
  <si>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</si>
  <si>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</si>
  <si>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</si>
  <si>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</si>
  <si>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</si>
  <si>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</si>
  <si>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</si>
  <si>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</si>
  <si>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</si>
  <si>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</si>
  <si>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</si>
  <si>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</si>
  <si>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</si>
  <si>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</si>
  <si>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</si>
  <si>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</si>
  <si>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</si>
  <si>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</si>
  <si>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</si>
  <si>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</si>
  <si>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</si>
  <si>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</si>
  <si>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</si>
  <si>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</si>
  <si>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</si>
  <si>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</si>
  <si>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</si>
  <si>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</si>
  <si>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</si>
  <si>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</si>
  <si>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</si>
  <si>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</si>
  <si>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</si>
  <si>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</si>
  <si>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</si>
  <si>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</si>
  <si>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</si>
  <si>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</si>
  <si>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</si>
  <si>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</si>
  <si>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</si>
  <si>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</si>
  <si>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</si>
  <si>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</si>
  <si>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</si>
  <si>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</si>
  <si>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</si>
  <si>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</si>
  <si>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</si>
  <si>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</si>
  <si>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</si>
  <si>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</si>
  <si>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</si>
  <si>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</si>
  <si>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</si>
  <si>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</si>
  <si>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</si>
  <si>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</si>
  <si>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</si>
  <si>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</si>
  <si>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</si>
  <si>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</si>
  <si>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</si>
  <si>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</si>
  <si>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</si>
  <si>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</si>
  <si>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</si>
  <si>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</si>
  <si>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</si>
  <si>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</si>
  <si>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</si>
  <si>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</si>
  <si>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</si>
  <si>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</si>
  <si>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</si>
  <si>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</si>
  <si>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</si>
  <si>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</si>
  <si>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</si>
  <si>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</si>
  <si>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</si>
  <si>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</si>
  <si>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</si>
  <si>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</si>
  <si>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</si>
  <si>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</si>
  <si>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</si>
  <si>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</si>
  <si>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</si>
  <si>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</si>
  <si>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</si>
  <si>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</si>
  <si>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</si>
  <si>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</si>
  <si>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</si>
  <si>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</si>
  <si>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</si>
  <si>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</si>
  <si>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</si>
  <si>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</si>
  <si>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</si>
  <si>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</si>
  <si>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</si>
  <si>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</si>
  <si>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</si>
  <si>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</si>
  <si>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</si>
  <si>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</si>
  <si>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</si>
  <si>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</si>
  <si>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</si>
  <si>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</si>
  <si>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</si>
  <si>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</si>
  <si>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</si>
  <si>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</si>
  <si>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</si>
  <si>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</si>
  <si>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</si>
  <si>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</si>
  <si>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</si>
  <si>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</si>
  <si>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</si>
  <si>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</si>
  <si>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</si>
  <si>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</si>
  <si>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</si>
  <si>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</si>
  <si>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</si>
  <si>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</si>
  <si>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</si>
  <si>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</si>
  <si>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</si>
  <si>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</si>
  <si>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</si>
  <si>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</si>
  <si>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</si>
  <si>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</si>
  <si>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</si>
  <si>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</si>
  <si>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</si>
  <si>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</si>
  <si>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</si>
  <si>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</si>
  <si>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</si>
  <si>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</si>
  <si>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</si>
  <si>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</si>
  <si>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</si>
  <si>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</si>
  <si>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</si>
  <si>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</si>
  <si>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</si>
  <si>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</si>
  <si>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</si>
  <si>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</si>
  <si>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</si>
  <si>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</si>
  <si>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</si>
  <si>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</si>
  <si>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</si>
  <si>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</si>
  <si>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</si>
  <si>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</si>
  <si>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</si>
  <si>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</si>
  <si>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</si>
  <si>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</si>
  <si>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</si>
  <si>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</si>
  <si>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</si>
  <si>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</si>
  <si>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</si>
  <si>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</si>
  <si>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</si>
  <si>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</si>
  <si>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</si>
  <si>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</si>
  <si>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</si>
  <si>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</si>
  <si>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</si>
  <si>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</si>
  <si>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</si>
  <si>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</si>
  <si>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</si>
  <si>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</si>
  <si>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</si>
  <si>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</si>
  <si>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</si>
  <si>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</si>
  <si>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</si>
  <si>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</si>
  <si>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</si>
  <si>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</si>
  <si>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</si>
  <si>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</si>
  <si>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</si>
  <si>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</si>
  <si>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</si>
  <si>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</si>
  <si>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</si>
  <si>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</si>
  <si>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</si>
  <si>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</si>
  <si>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</si>
  <si>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</si>
  <si>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</si>
  <si>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</si>
  <si>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</si>
  <si>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</si>
  <si>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</si>
  <si>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</si>
  <si>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</si>
  <si>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</si>
  <si>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</si>
  <si>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</si>
  <si>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</si>
  <si>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</si>
  <si>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</si>
  <si>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</si>
  <si>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</si>
  <si>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</si>
  <si>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</si>
  <si>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</si>
  <si>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</si>
  <si>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</si>
  <si>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</si>
  <si>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</si>
  <si>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</si>
  <si>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</si>
  <si>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</si>
  <si>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</si>
  <si>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</si>
  <si>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</si>
  <si>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</si>
  <si>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</si>
  <si>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</si>
  <si>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</si>
  <si>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</si>
  <si>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</si>
  <si>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</si>
  <si>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</si>
  <si>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</si>
  <si>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</si>
  <si>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</si>
  <si>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</si>
  <si>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</si>
  <si>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</si>
  <si>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</si>
  <si>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</si>
  <si>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</si>
  <si>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</si>
  <si>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</si>
  <si>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</si>
  <si>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</si>
  <si>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</si>
  <si>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</si>
  <si>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</si>
  <si>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</si>
  <si>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</si>
  <si>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</si>
  <si>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</si>
  <si>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</si>
  <si>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</si>
  <si>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</si>
  <si>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</si>
  <si>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</si>
  <si>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</si>
  <si>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</si>
  <si>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</si>
  <si>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</si>
  <si>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</si>
  <si>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</si>
  <si>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</si>
  <si>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</si>
  <si>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</si>
  <si>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</si>
  <si>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</si>
  <si>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</si>
  <si>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</si>
  <si>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</si>
  <si>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</si>
  <si>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</si>
  <si>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</si>
  <si>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</si>
  <si>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</si>
  <si>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</si>
  <si>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</si>
  <si>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</si>
  <si>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</si>
  <si>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</si>
  <si>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</si>
  <si>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</si>
  <si>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</si>
  <si>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</si>
  <si>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</si>
  <si>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</si>
  <si>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</si>
  <si>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</si>
  <si>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</si>
  <si>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</si>
  <si>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</si>
  <si>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</si>
  <si>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</si>
  <si>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</si>
  <si>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</si>
  <si>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</si>
  <si>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</si>
  <si>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</si>
  <si>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</si>
  <si>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</si>
  <si>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</si>
  <si>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</si>
  <si>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</si>
  <si>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</si>
  <si>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</si>
  <si>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</si>
  <si>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</si>
  <si>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</si>
  <si>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</si>
  <si>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</si>
  <si>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</si>
  <si>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</si>
  <si>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</si>
  <si>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</si>
  <si>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</si>
  <si>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</si>
  <si>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</si>
  <si>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</si>
  <si>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</si>
  <si>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</si>
  <si>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</si>
  <si>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</si>
  <si>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</si>
  <si>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</si>
  <si>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</si>
  <si>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</si>
  <si>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</si>
  <si>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</si>
  <si>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</si>
  <si>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</si>
  <si>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</si>
  <si>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</si>
  <si>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</si>
  <si>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</si>
  <si>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</si>
  <si>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</si>
  <si>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</si>
  <si>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</si>
  <si>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</si>
  <si>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</si>
  <si>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</si>
  <si>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</si>
  <si>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</si>
  <si>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</si>
  <si>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</si>
  <si>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</si>
  <si>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</si>
  <si>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</si>
  <si>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</si>
  <si>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</si>
  <si>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</si>
  <si>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</si>
  <si>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</si>
  <si>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</si>
  <si>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</si>
  <si>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</si>
  <si>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</si>
  <si>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</si>
  <si>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</si>
  <si>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</si>
  <si>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</si>
  <si>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</si>
  <si>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</si>
  <si>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</si>
  <si>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</si>
  <si>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</si>
  <si>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</si>
  <si>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</si>
  <si>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</si>
  <si>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</si>
  <si>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</si>
  <si>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</si>
  <si>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</si>
  <si>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</si>
  <si>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</si>
  <si>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</si>
  <si>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</si>
  <si>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</si>
  <si>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</si>
  <si>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</si>
  <si>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</si>
  <si>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</si>
  <si>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</si>
  <si>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</si>
  <si>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</si>
  <si>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</si>
  <si>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</si>
  <si>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</si>
  <si>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</si>
  <si>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</si>
  <si>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</si>
  <si>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</si>
  <si>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</si>
  <si>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</si>
  <si>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</si>
  <si>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</si>
  <si>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</si>
  <si>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</si>
  <si>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</si>
  <si>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</si>
  <si>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</si>
  <si>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</si>
  <si>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</si>
  <si>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</si>
  <si>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</si>
  <si>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</si>
  <si>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</si>
  <si>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</si>
  <si>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</si>
  <si>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</si>
  <si>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</si>
  <si>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</si>
  <si>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</si>
  <si>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</si>
  <si>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</si>
  <si>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</si>
  <si>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</si>
  <si>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</si>
  <si>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</si>
  <si>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</si>
  <si>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</si>
  <si>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</si>
  <si>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</si>
  <si>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</si>
  <si>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</si>
  <si>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</si>
  <si>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</si>
  <si>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</si>
  <si>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</si>
  <si>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</si>
  <si>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</si>
  <si>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</si>
  <si>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</si>
  <si>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</si>
  <si>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</si>
  <si>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</si>
  <si>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</si>
  <si>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</si>
  <si>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</si>
  <si>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</si>
  <si>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</si>
  <si>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</si>
  <si>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</si>
  <si>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</si>
  <si>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</si>
  <si>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</si>
  <si>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</si>
  <si>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</si>
  <si>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</si>
  <si>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</si>
  <si>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</si>
  <si>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</si>
  <si>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</si>
  <si>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</si>
  <si>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</si>
  <si>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</si>
  <si>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</si>
  <si>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</si>
  <si>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</si>
  <si>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</si>
  <si>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</si>
  <si>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</si>
  <si>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</si>
  <si>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</si>
  <si>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</si>
  <si>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</si>
  <si>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</si>
  <si>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</si>
  <si>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</si>
  <si>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</si>
  <si>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</si>
  <si>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</si>
  <si>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</si>
  <si>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</si>
  <si>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</si>
  <si>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</si>
  <si>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</si>
  <si>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</si>
  <si>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</si>
  <si>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</si>
  <si>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</si>
  <si>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</si>
  <si>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</si>
  <si>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</si>
  <si>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</si>
  <si>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</si>
  <si>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</si>
  <si>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</si>
  <si>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</si>
  <si>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</si>
  <si>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</si>
  <si>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</si>
  <si>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</si>
  <si>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</si>
  <si>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</si>
  <si>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</si>
  <si>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</si>
  <si>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</si>
  <si>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</si>
  <si>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</si>
  <si>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</si>
  <si>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</si>
  <si>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</si>
  <si>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</si>
  <si>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</si>
  <si>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</si>
  <si>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</si>
  <si>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</si>
  <si>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</si>
  <si>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</si>
  <si>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</si>
  <si>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</si>
  <si>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</si>
  <si>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</si>
  <si>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</si>
  <si>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</si>
  <si>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</si>
  <si>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</si>
  <si>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</si>
  <si>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</si>
  <si>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</si>
  <si>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</si>
  <si>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</si>
  <si>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</si>
  <si>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</si>
  <si>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</si>
  <si>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</si>
  <si>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</si>
  <si>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</si>
  <si>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</si>
  <si>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</si>
  <si>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</si>
  <si>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</si>
  <si>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</si>
  <si>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</si>
  <si>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</si>
  <si>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</si>
  <si>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</si>
  <si>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</si>
  <si>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</si>
  <si>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</si>
  <si>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</si>
  <si>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</si>
  <si>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</si>
  <si>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</si>
  <si>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</si>
  <si>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</si>
  <si>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</si>
  <si>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</si>
  <si>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</si>
  <si>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</si>
  <si>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</si>
  <si>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</si>
  <si>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</si>
  <si>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</si>
  <si>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</si>
  <si>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</si>
  <si>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</si>
  <si>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</si>
  <si>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</si>
  <si>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</si>
  <si>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</si>
  <si>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</si>
  <si>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</si>
  <si>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</si>
  <si>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</si>
  <si>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</si>
  <si>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</si>
  <si>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</si>
  <si>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</si>
  <si>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</si>
  <si>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</si>
  <si>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</si>
  <si>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</si>
  <si>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</si>
  <si>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</si>
  <si>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</si>
  <si>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</si>
  <si>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</si>
  <si>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</si>
  <si>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</si>
  <si>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</si>
  <si>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</si>
  <si>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</si>
  <si>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</si>
  <si>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</si>
  <si>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</si>
  <si>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</si>
  <si>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</si>
  <si>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</si>
  <si>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</si>
  <si>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</si>
  <si>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</si>
  <si>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</si>
  <si>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</si>
  <si>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</si>
  <si>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</si>
  <si>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</si>
  <si>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</si>
  <si>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</si>
  <si>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</si>
  <si>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</si>
  <si>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</si>
  <si>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</si>
  <si>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</si>
  <si>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</si>
  <si>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</si>
  <si>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</si>
  <si>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</si>
  <si>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</si>
  <si>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</si>
  <si>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</si>
  <si>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</si>
  <si>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</si>
  <si>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</si>
  <si>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</si>
  <si>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</si>
  <si>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</si>
  <si>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</si>
  <si>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</si>
  <si>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</si>
  <si>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</si>
  <si>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</si>
  <si>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</si>
  <si>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</si>
  <si>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</si>
  <si>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</si>
  <si>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</si>
  <si>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</si>
  <si>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</si>
  <si>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</si>
  <si>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</si>
  <si>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</si>
  <si>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</si>
  <si>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</si>
  <si>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</si>
  <si>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</si>
  <si>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</si>
  <si>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</si>
  <si>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</si>
  <si>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</si>
  <si>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</si>
  <si>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</si>
  <si>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</si>
  <si>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</si>
  <si>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</si>
  <si>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</si>
  <si>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</si>
  <si>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</si>
  <si>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</si>
  <si>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</si>
  <si>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</si>
  <si>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</si>
  <si>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</si>
  <si>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</si>
  <si>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</si>
  <si>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</si>
  <si>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</si>
  <si>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</si>
  <si>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</si>
  <si>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</si>
  <si>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</si>
  <si>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</si>
  <si>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</si>
  <si>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</si>
  <si>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</si>
  <si>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</si>
  <si>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</si>
  <si>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</si>
  <si>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</si>
  <si>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</si>
  <si>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</si>
  <si>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</si>
  <si>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</si>
  <si>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</si>
  <si>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</si>
  <si>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</si>
  <si>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</si>
  <si>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</si>
  <si>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</si>
  <si>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</si>
  <si>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</si>
  <si>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</si>
  <si>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</si>
  <si>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</si>
  <si>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</si>
  <si>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</si>
  <si>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</si>
  <si>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</si>
  <si>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</si>
  <si>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</si>
  <si>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</si>
  <si>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</si>
  <si>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</si>
  <si>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</si>
  <si>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</si>
  <si>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</si>
  <si>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</si>
  <si>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</si>
  <si>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</si>
  <si>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</si>
  <si>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</si>
  <si>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</si>
  <si>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</si>
  <si>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</si>
  <si>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</si>
  <si>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</si>
  <si>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</si>
  <si>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</si>
  <si>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</si>
  <si>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</si>
  <si>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</si>
  <si>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</si>
  <si>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</si>
  <si>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</si>
  <si>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</si>
  <si>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</si>
  <si>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</si>
  <si>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</si>
  <si>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</si>
  <si>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</si>
  <si>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</si>
  <si>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</si>
  <si>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</si>
  <si>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</si>
  <si>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</si>
  <si>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</si>
  <si>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</si>
  <si>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</si>
  <si>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</si>
  <si>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</si>
  <si>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</si>
  <si>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</si>
  <si>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</si>
  <si>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</si>
  <si>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</si>
  <si>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</si>
  <si>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</si>
  <si>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</si>
  <si>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</si>
  <si>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</si>
  <si>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</si>
  <si>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</si>
  <si>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</si>
  <si>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</si>
  <si>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</si>
  <si>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</si>
  <si>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</si>
  <si>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</si>
  <si>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</si>
  <si>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</si>
  <si>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</si>
  <si>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</si>
  <si>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</si>
  <si>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</si>
  <si>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</si>
  <si>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</si>
  <si>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</si>
  <si>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</si>
  <si>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</si>
  <si>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</si>
  <si>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</si>
  <si>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</si>
  <si>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</si>
  <si>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</si>
  <si>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</si>
  <si>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</si>
  <si>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</si>
  <si>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</si>
  <si>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</si>
  <si>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</si>
  <si>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</si>
  <si>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</si>
  <si>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</si>
  <si>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</si>
  <si>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</si>
  <si>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</si>
  <si>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</si>
  <si>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</si>
  <si>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</si>
  <si>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</si>
  <si>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</si>
  <si>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</si>
  <si>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</si>
  <si>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</si>
  <si>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</si>
  <si>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</si>
  <si>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</si>
  <si>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</si>
  <si>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</si>
  <si>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</si>
  <si>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</si>
  <si>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</si>
  <si>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</si>
  <si>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</si>
  <si>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</si>
  <si>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</si>
  <si>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</si>
  <si>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</si>
  <si>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</si>
  <si>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</si>
  <si>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</si>
  <si>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</si>
  <si>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</si>
  <si>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</si>
  <si>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</si>
  <si>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</si>
  <si>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</si>
  <si>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</si>
  <si>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</si>
  <si>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</si>
  <si>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</si>
  <si>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</si>
  <si>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</si>
  <si>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</si>
  <si>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</si>
  <si>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</si>
  <si>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</si>
  <si>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</si>
  <si>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</si>
  <si>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</si>
  <si>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</si>
  <si>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</si>
  <si>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</si>
  <si>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</si>
  <si>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</si>
  <si>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</si>
  <si>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</si>
  <si>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</si>
  <si>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</si>
  <si>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</si>
  <si>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</si>
  <si>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</si>
  <si>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</si>
  <si>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</si>
  <si>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</si>
  <si>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</si>
  <si>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</si>
  <si>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</si>
  <si>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</si>
  <si>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</si>
  <si>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</si>
  <si>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</si>
  <si>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</si>
  <si>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</si>
  <si>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</si>
  <si>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</si>
  <si>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</si>
  <si>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</si>
  <si>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</si>
  <si>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</si>
  <si>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</si>
  <si>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</si>
  <si>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</si>
  <si>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</si>
  <si>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</si>
  <si>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</si>
  <si>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</si>
  <si>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</si>
  <si>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</si>
  <si>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</si>
  <si>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</si>
  <si>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</si>
  <si>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</si>
  <si>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</si>
  <si>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</si>
  <si>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</si>
  <si>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</si>
  <si>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</si>
  <si>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</si>
  <si>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</si>
  <si>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</si>
  <si>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</si>
  <si>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</si>
  <si>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</si>
  <si>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</si>
  <si>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</si>
  <si>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</si>
  <si>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</si>
  <si>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</si>
  <si>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</si>
  <si>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</si>
  <si>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</si>
  <si>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</si>
  <si>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</si>
  <si>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</si>
  <si>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</si>
  <si>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</si>
  <si>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</si>
  <si>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</si>
  <si>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</si>
  <si>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</si>
  <si>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</si>
  <si>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</si>
  <si>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</si>
  <si>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</si>
  <si>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</si>
  <si>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</si>
  <si>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</si>
  <si>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</si>
  <si>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</si>
  <si>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</si>
  <si>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</si>
  <si>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</si>
  <si>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</si>
  <si>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</si>
  <si>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</si>
  <si>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</si>
  <si>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</si>
  <si>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</si>
  <si>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</si>
  <si>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</si>
  <si>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</si>
  <si>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</si>
  <si>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</si>
  <si>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</si>
  <si>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</si>
  <si>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</si>
  <si>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</si>
  <si>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</si>
  <si>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</si>
  <si>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</si>
  <si>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</si>
  <si>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</si>
  <si>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</si>
  <si>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</si>
  <si>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</si>
  <si>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</si>
  <si>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</si>
  <si>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</si>
  <si>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</si>
  <si>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</si>
  <si>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</si>
  <si>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</si>
  <si>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</si>
  <si>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</si>
  <si>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</si>
  <si>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</si>
  <si>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</si>
  <si>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</si>
  <si>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</si>
  <si>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</si>
  <si>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</si>
  <si>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</si>
  <si>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</si>
  <si>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</si>
  <si>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</si>
  <si>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</si>
  <si>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</si>
  <si>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</si>
  <si>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</si>
  <si>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</si>
  <si>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</si>
  <si>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</si>
  <si>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</si>
  <si>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</si>
  <si>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</si>
  <si>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</si>
  <si>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</si>
  <si>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</si>
  <si>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</si>
  <si>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</si>
  <si>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</si>
  <si>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</si>
  <si>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</si>
  <si>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</si>
  <si>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</si>
  <si>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</si>
  <si>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</si>
  <si>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</si>
  <si>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</si>
  <si>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</si>
  <si>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</si>
  <si>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</si>
  <si>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</si>
  <si>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</si>
  <si>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</si>
  <si>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</si>
  <si>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</si>
  <si>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</si>
  <si>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</si>
  <si>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</si>
  <si>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</si>
  <si>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</si>
  <si>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</si>
  <si>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</si>
  <si>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</si>
  <si>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</si>
  <si>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</si>
  <si>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</si>
  <si>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</si>
  <si>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</si>
  <si>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</si>
  <si>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</si>
  <si>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</si>
  <si>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</si>
  <si>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</si>
  <si>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</si>
  <si>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</si>
  <si>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</si>
  <si>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</si>
  <si>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</si>
  <si>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</si>
  <si>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</si>
  <si>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</si>
  <si>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</si>
  <si>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</si>
  <si>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</si>
  <si>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</si>
  <si>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</si>
  <si>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</si>
  <si>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</si>
  <si>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</si>
  <si>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</si>
  <si>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</si>
  <si>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</si>
  <si>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</si>
  <si>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</si>
  <si>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</si>
  <si>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</si>
  <si>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</si>
  <si>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</si>
  <si>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</si>
  <si>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</si>
  <si>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</si>
  <si>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</si>
  <si>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</si>
  <si>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</si>
  <si>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</si>
  <si>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</si>
  <si>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</si>
  <si>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</si>
  <si>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</si>
  <si>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</si>
  <si>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</si>
  <si>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</si>
  <si>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</si>
  <si>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</si>
  <si>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</si>
  <si>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</si>
  <si>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</si>
  <si>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</si>
  <si>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</si>
  <si>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</si>
  <si>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</si>
  <si>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</si>
  <si>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</si>
  <si>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</si>
  <si>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</si>
  <si>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</si>
  <si>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</si>
  <si>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</si>
  <si>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</si>
  <si>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</si>
  <si>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</si>
  <si>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</si>
  <si>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</si>
  <si>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</si>
  <si>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</si>
  <si>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</si>
  <si>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</si>
  <si>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</si>
  <si>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</si>
  <si>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</si>
  <si>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</si>
  <si>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</si>
  <si>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</si>
  <si>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</si>
  <si>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</si>
  <si>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</si>
  <si>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</si>
  <si>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</si>
  <si>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</si>
  <si>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</si>
  <si>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</si>
  <si>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</si>
  <si>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</si>
  <si>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</si>
  <si>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</si>
  <si>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</si>
  <si>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</si>
  <si>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</si>
  <si>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</si>
  <si>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</si>
  <si>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</si>
  <si>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</si>
  <si>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</si>
  <si>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</si>
  <si>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</si>
  <si>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</si>
  <si>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</si>
  <si>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</si>
  <si>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</si>
  <si>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</si>
  <si>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</si>
  <si>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</si>
  <si>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</si>
  <si>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</si>
  <si>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</si>
  <si>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</si>
  <si>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</si>
  <si>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</si>
  <si>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</si>
  <si>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</si>
  <si>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</si>
  <si>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</si>
  <si>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</si>
  <si>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</si>
  <si>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</si>
  <si>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</si>
  <si>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</si>
  <si>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</si>
  <si>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</si>
  <si>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</si>
  <si>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</si>
  <si>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</si>
  <si>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</si>
  <si>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</si>
  <si>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</si>
  <si>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</si>
  <si>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</si>
  <si>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</si>
  <si>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</si>
  <si>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</si>
  <si>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</si>
  <si>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</si>
  <si>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</si>
  <si>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</si>
  <si>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</si>
  <si>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</si>
  <si>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</si>
  <si>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</si>
  <si>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</si>
  <si>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</si>
  <si>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</si>
  <si>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</si>
  <si>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</si>
  <si>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</si>
  <si>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</si>
  <si>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</si>
  <si>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</si>
  <si>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</si>
  <si>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</si>
  <si>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</si>
  <si>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</si>
  <si>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</si>
  <si>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</si>
  <si>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</si>
  <si>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</si>
  <si>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</si>
  <si>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</si>
  <si>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</si>
  <si>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</si>
  <si>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</si>
  <si>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</si>
  <si>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</si>
  <si>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</si>
  <si>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</si>
  <si>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</si>
  <si>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</si>
  <si>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</si>
  <si>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</si>
  <si>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</si>
  <si>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</si>
  <si>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</si>
  <si>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</si>
  <si>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</si>
  <si>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</si>
  <si>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</si>
  <si>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</si>
  <si>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</si>
  <si>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</si>
  <si>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</si>
  <si>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</si>
  <si>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</si>
  <si>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</si>
  <si>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</si>
  <si>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</si>
  <si>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</si>
  <si>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</si>
  <si>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</si>
  <si>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</si>
  <si>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</si>
  <si>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</si>
  <si>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</si>
  <si>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</si>
  <si>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</si>
  <si>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</si>
  <si>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</si>
  <si>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</si>
  <si>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</si>
  <si>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</si>
  <si>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</si>
  <si>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</si>
  <si>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</si>
  <si>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</si>
  <si>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</si>
  <si>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</si>
  <si>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</si>
  <si>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</si>
  <si>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</si>
  <si>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</si>
  <si>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</si>
  <si>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</si>
  <si>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</si>
  <si>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</si>
  <si>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</si>
  <si>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</si>
  <si>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</si>
  <si>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</si>
  <si>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</si>
  <si>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</si>
  <si>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</si>
  <si>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</si>
  <si>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</si>
  <si>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</si>
  <si>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</si>
  <si>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</si>
  <si>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</si>
  <si>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</si>
  <si>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</si>
  <si>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</si>
  <si>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</si>
  <si>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</si>
  <si>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</si>
  <si>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</si>
  <si>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</si>
  <si>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</si>
  <si>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</si>
  <si>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</si>
  <si>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</si>
  <si>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</si>
  <si>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</si>
  <si>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</si>
  <si>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</si>
  <si>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</si>
  <si>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</si>
  <si>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</si>
  <si>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</si>
  <si>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</si>
  <si>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</si>
  <si>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</si>
  <si>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</si>
  <si>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</si>
  <si>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</si>
  <si>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</si>
  <si>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</si>
  <si>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</si>
  <si>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</si>
  <si>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</si>
  <si>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</si>
  <si>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</si>
  <si>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</si>
  <si>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</si>
  <si>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</si>
  <si>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</si>
  <si>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</si>
  <si>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</si>
  <si>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</si>
  <si>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</si>
  <si>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</si>
  <si>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</si>
  <si>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</si>
  <si>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</si>
  <si>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</si>
  <si>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</si>
  <si>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</si>
  <si>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</si>
  <si>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</si>
  <si>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</si>
  <si>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</si>
  <si>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</si>
  <si>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</si>
  <si>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</si>
  <si>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</si>
  <si>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</si>
  <si>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</si>
  <si>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</si>
  <si>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</si>
  <si>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</si>
  <si>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</si>
  <si>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</si>
  <si>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</si>
  <si>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</si>
  <si>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</si>
  <si>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</si>
  <si>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</si>
  <si>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</si>
  <si>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</si>
  <si>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</si>
  <si>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</si>
  <si>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</si>
  <si>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</si>
  <si>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</si>
  <si>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</si>
  <si>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</si>
  <si>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</si>
  <si>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</si>
  <si>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</si>
  <si>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</si>
  <si>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</si>
  <si>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</si>
  <si>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</si>
  <si>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</si>
  <si>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</si>
  <si>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</si>
  <si>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</si>
  <si>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</si>
  <si>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</si>
  <si>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</si>
  <si>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</si>
  <si>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</si>
  <si>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</si>
  <si>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</si>
  <si>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</si>
  <si>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</si>
  <si>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</si>
  <si>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</si>
  <si>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</si>
  <si>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</si>
  <si>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</si>
  <si>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</si>
  <si>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</si>
  <si>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</si>
  <si>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</si>
  <si>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</si>
  <si>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</si>
  <si>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</si>
  <si>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</si>
  <si>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</si>
  <si>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</si>
  <si>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</si>
  <si>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</si>
  <si>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</si>
  <si>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</si>
  <si>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</si>
  <si>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</si>
  <si>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</si>
  <si>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</si>
  <si>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</si>
  <si>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</si>
  <si>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</si>
  <si>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</si>
  <si>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</si>
  <si>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</si>
  <si>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</si>
  <si>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</si>
  <si>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</si>
  <si>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</si>
  <si>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</si>
  <si>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</si>
  <si>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</si>
  <si>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</si>
  <si>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</si>
  <si>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</si>
  <si>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</si>
  <si>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</si>
  <si>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</si>
  <si>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</si>
  <si>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</si>
  <si>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</si>
  <si>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</si>
  <si>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</si>
  <si>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</si>
  <si>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</si>
  <si>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</si>
  <si>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</si>
  <si>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</si>
  <si>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</si>
  <si>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</si>
  <si>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</si>
  <si>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</si>
  <si>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</si>
  <si>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</si>
  <si>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</si>
  <si>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</si>
  <si>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</si>
  <si>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</si>
  <si>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</si>
  <si>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</si>
  <si>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</si>
  <si>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</si>
  <si>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</si>
  <si>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</si>
  <si>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</si>
  <si>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</si>
  <si>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</si>
  <si>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</si>
  <si>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</si>
  <si>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</si>
  <si>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</si>
  <si>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</si>
  <si>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</si>
  <si>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</si>
  <si>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</si>
  <si>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</si>
  <si>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</si>
  <si>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</si>
  <si>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</si>
  <si>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</si>
  <si>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</si>
  <si>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</si>
  <si>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</si>
  <si>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</si>
  <si>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</si>
  <si>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</si>
  <si>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</si>
  <si>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</si>
  <si>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</si>
  <si>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</si>
  <si>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</si>
  <si>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</si>
  <si>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</si>
  <si>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</si>
  <si>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</si>
  <si>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</si>
  <si>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</si>
  <si>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</si>
  <si>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</si>
  <si>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</si>
  <si>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</si>
  <si>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</si>
  <si>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</si>
  <si>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</si>
  <si>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</si>
  <si>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</si>
  <si>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</si>
  <si>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</si>
  <si>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</si>
  <si>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</si>
  <si>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</si>
  <si>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</si>
  <si>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</si>
  <si>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</si>
  <si>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</si>
  <si>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</si>
  <si>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</si>
  <si>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</si>
  <si>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</si>
  <si>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</si>
  <si>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</si>
  <si>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</si>
  <si>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</si>
  <si>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</si>
  <si>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</si>
  <si>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</si>
  <si>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</si>
  <si>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</si>
  <si>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</si>
  <si>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</si>
  <si>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</si>
  <si>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</si>
  <si>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</si>
  <si>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</si>
  <si>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</si>
  <si>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</si>
  <si>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</si>
  <si>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</si>
  <si>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</si>
  <si>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</si>
  <si>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</si>
  <si>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</si>
  <si>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</si>
  <si>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</si>
  <si>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</si>
  <si>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</si>
  <si>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</si>
  <si>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</si>
  <si>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</si>
  <si>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</si>
  <si>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</si>
  <si>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</si>
  <si>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</si>
  <si>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</si>
  <si>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</si>
  <si>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</si>
  <si>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</si>
  <si>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</si>
  <si>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</si>
  <si>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</si>
  <si>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</si>
  <si>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</si>
  <si>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</si>
  <si>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</si>
  <si>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</si>
  <si>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</si>
  <si>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</si>
  <si>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</si>
  <si>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</si>
  <si>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</si>
  <si>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</si>
  <si>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</si>
  <si>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</si>
  <si>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</si>
  <si>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</si>
  <si>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</si>
  <si>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</si>
  <si>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</si>
  <si>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</si>
  <si>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</si>
  <si>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</si>
  <si>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</si>
  <si>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</si>
  <si>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</si>
  <si>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</si>
  <si>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</si>
  <si>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</si>
  <si>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</si>
  <si>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</si>
  <si>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</si>
  <si>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</si>
  <si>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</si>
  <si>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</si>
  <si>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</si>
  <si>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</si>
  <si>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</si>
  <si>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</si>
  <si>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</si>
  <si>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</si>
  <si>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</si>
  <si>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</si>
  <si>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</si>
  <si>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</si>
  <si>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</si>
  <si>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</si>
  <si>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</si>
  <si>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</si>
  <si>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</si>
  <si>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</si>
  <si>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</si>
  <si>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</si>
  <si>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</si>
  <si>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</si>
  <si>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</si>
  <si>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</si>
  <si>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</si>
  <si>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</si>
  <si>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</si>
  <si>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</si>
  <si>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</si>
  <si>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</si>
  <si>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</si>
  <si>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</si>
  <si>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</si>
  <si>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</si>
  <si>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</si>
  <si>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</si>
  <si>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</si>
  <si>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</si>
  <si>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</si>
  <si>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</si>
  <si>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</si>
  <si>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</si>
  <si>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</si>
  <si>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</si>
  <si>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</si>
  <si>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</si>
  <si>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</si>
  <si>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</si>
  <si>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</si>
  <si>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</si>
  <si>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</si>
  <si>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</si>
  <si>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</si>
  <si>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</si>
  <si>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</si>
  <si>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</si>
  <si>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</si>
  <si>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</si>
  <si>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</si>
  <si>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</si>
  <si>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</si>
  <si>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</si>
  <si>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</si>
  <si>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</si>
  <si>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</si>
  <si>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</si>
  <si>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</si>
  <si>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</si>
  <si>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</si>
  <si>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</si>
  <si>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</si>
  <si>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</si>
  <si>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</si>
  <si>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</si>
  <si>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</si>
  <si>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</si>
  <si>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</si>
  <si>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</si>
  <si>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</si>
  <si>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</si>
  <si>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</si>
  <si>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</si>
  <si>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</si>
  <si>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</si>
  <si>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</si>
  <si>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</si>
  <si>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</si>
  <si>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</si>
  <si>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</si>
  <si>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</si>
  <si>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</si>
  <si>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</si>
  <si>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</si>
  <si>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</si>
  <si>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</si>
  <si>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</si>
  <si>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</si>
  <si>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</si>
  <si>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</si>
  <si>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</si>
  <si>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</si>
  <si>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</si>
  <si>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</si>
  <si>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</si>
  <si>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</si>
  <si>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</si>
  <si>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</si>
  <si>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</si>
  <si>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</si>
  <si>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</si>
  <si>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</si>
  <si>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</si>
  <si>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</si>
  <si>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</si>
  <si>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</si>
  <si>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</si>
  <si>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</si>
  <si>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</si>
  <si>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</si>
  <si>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</si>
  <si>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</si>
  <si>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</si>
  <si>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</si>
  <si>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</si>
  <si>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</si>
  <si>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</si>
  <si>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</si>
  <si>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</si>
  <si>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</si>
  <si>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</si>
  <si>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</si>
  <si>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</si>
  <si>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</si>
  <si>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</si>
  <si>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</si>
  <si>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</si>
  <si>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</si>
  <si>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</si>
  <si>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</si>
  <si>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</si>
  <si>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</si>
  <si>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</si>
  <si>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</si>
  <si>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</si>
  <si>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</si>
  <si>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</si>
  <si>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</si>
  <si>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</si>
  <si>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</si>
  <si>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</si>
  <si>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</si>
  <si>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</si>
  <si>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</si>
  <si>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</si>
  <si>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</si>
  <si>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</si>
  <si>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</si>
  <si>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</si>
  <si>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</si>
  <si>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</si>
  <si>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</si>
  <si>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</si>
  <si>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</si>
  <si>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</si>
  <si>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</si>
  <si>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</si>
  <si>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</si>
  <si>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</si>
  <si>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</si>
  <si>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</si>
  <si>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</si>
  <si>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</si>
  <si>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</si>
  <si>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</si>
  <si>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</si>
  <si>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</si>
  <si>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</si>
  <si>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</si>
  <si>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</si>
  <si>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</si>
  <si>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</si>
  <si>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</si>
  <si>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</si>
  <si>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</si>
  <si>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</si>
  <si>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</si>
  <si>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</si>
  <si>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</si>
  <si>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</si>
  <si>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</si>
  <si>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</si>
  <si>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</si>
  <si>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</si>
  <si>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</si>
  <si>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</si>
  <si>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</si>
  <si>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</si>
  <si>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</si>
  <si>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</si>
  <si>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</si>
  <si>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</si>
  <si>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</si>
  <si>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</si>
  <si>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</si>
  <si>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</si>
  <si>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</si>
  <si>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</si>
  <si>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</si>
  <si>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</si>
  <si>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</si>
  <si>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</si>
  <si>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</si>
  <si>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</si>
  <si>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</si>
  <si>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</si>
  <si>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</si>
  <si>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</si>
  <si>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</si>
  <si>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</si>
  <si>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</si>
  <si>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</si>
  <si>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</si>
  <si>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</si>
  <si>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</si>
  <si>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</si>
  <si>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</si>
  <si>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</si>
  <si>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</si>
  <si>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</si>
  <si>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</si>
  <si>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</si>
  <si>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</si>
  <si>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</si>
  <si>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</si>
  <si>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</si>
  <si>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</si>
  <si>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</si>
  <si>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</si>
  <si>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</si>
  <si>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</si>
  <si>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</si>
  <si>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</si>
  <si>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</si>
  <si>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</si>
  <si>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</si>
  <si>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</si>
  <si>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</si>
  <si>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</si>
  <si>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</si>
  <si>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</si>
  <si>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</si>
  <si>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</si>
  <si>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</si>
  <si>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</si>
  <si>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</si>
  <si>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</si>
  <si>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</si>
  <si>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</si>
  <si>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</si>
  <si>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</si>
  <si>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</si>
  <si>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</si>
  <si>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</si>
  <si>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</si>
  <si>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</si>
  <si>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</si>
  <si>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</si>
  <si>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</si>
  <si>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</si>
  <si>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</si>
  <si>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</si>
  <si>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</si>
  <si>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</si>
  <si>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</si>
  <si>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</si>
  <si>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</si>
  <si>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</si>
  <si>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</si>
  <si>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</si>
  <si>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</si>
  <si>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</si>
  <si>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</si>
  <si>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</si>
  <si>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</si>
  <si>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</si>
  <si>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</si>
  <si>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</si>
  <si>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</si>
  <si>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</si>
  <si>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</si>
  <si>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</si>
  <si>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</si>
  <si>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</si>
  <si>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</si>
  <si>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</si>
  <si>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</si>
  <si>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</si>
  <si>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</si>
  <si>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</si>
  <si>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</si>
  <si>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</si>
  <si>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</si>
  <si>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</si>
  <si>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</si>
  <si>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</si>
  <si>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</si>
  <si>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</si>
  <si>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</si>
  <si>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</si>
  <si>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</si>
  <si>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</si>
  <si>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</si>
  <si>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</si>
  <si>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</si>
  <si>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</si>
  <si>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</si>
  <si>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</si>
  <si>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</si>
  <si>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</si>
  <si>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</si>
  <si>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</si>
  <si>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</si>
  <si>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</si>
  <si>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</si>
  <si>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</si>
  <si>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</si>
  <si>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</si>
  <si>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</si>
  <si>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</si>
  <si>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</si>
  <si>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</si>
  <si>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</si>
  <si>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</si>
  <si>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</si>
  <si>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</si>
  <si>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</si>
  <si>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</si>
  <si>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</si>
  <si>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</si>
  <si>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</si>
  <si>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</si>
  <si>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</si>
  <si>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</si>
  <si>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</si>
  <si>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</si>
  <si>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</si>
  <si>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</si>
  <si>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</si>
  <si>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</si>
  <si>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</si>
  <si>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</si>
  <si>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</si>
  <si>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</si>
  <si>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</si>
  <si>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</si>
  <si>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</si>
  <si>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</si>
  <si>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</si>
  <si>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</si>
  <si>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</si>
  <si>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</si>
  <si>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</si>
  <si>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</si>
  <si>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</si>
  <si>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</si>
  <si>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</si>
  <si>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</si>
  <si>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</si>
  <si>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</si>
  <si>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</si>
  <si>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</si>
  <si>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</si>
  <si>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</si>
  <si>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</si>
  <si>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</si>
  <si>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</si>
  <si>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</si>
  <si>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</si>
  <si>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</si>
  <si>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</si>
  <si>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</si>
  <si>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</si>
  <si>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</si>
  <si>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</si>
  <si>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</si>
  <si>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</si>
  <si>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</si>
  <si>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</si>
  <si>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</si>
  <si>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</si>
  <si>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</si>
  <si>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</si>
  <si>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</si>
  <si>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</si>
  <si>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</si>
  <si>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</si>
  <si>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</si>
  <si>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</si>
  <si>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</si>
  <si>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</si>
  <si>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</si>
  <si>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</si>
  <si>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</si>
  <si>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</si>
  <si>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</si>
  <si>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</si>
  <si>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</si>
  <si>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</si>
  <si>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</si>
  <si>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</si>
  <si>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</si>
  <si>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</si>
  <si>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</si>
  <si>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</si>
  <si>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</si>
  <si>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</si>
  <si>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</si>
  <si>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</si>
  <si>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</si>
  <si>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</si>
  <si>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</si>
  <si>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</si>
  <si>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</si>
  <si>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</si>
  <si>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</si>
  <si>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</si>
  <si>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</si>
  <si>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</si>
  <si>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</si>
  <si>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</si>
  <si>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</si>
  <si>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</si>
  <si>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</si>
  <si>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</si>
  <si>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</si>
  <si>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</si>
  <si>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</si>
  <si>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</si>
  <si>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</si>
  <si>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</si>
  <si>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</si>
  <si>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</si>
  <si>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</si>
  <si>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</si>
  <si>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</si>
  <si>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</si>
  <si>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</si>
  <si>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</si>
  <si>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</si>
  <si>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</si>
  <si>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</si>
  <si>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</si>
  <si>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</si>
  <si>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</si>
  <si>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</si>
  <si>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</si>
  <si>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</si>
  <si>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</si>
  <si>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</si>
  <si>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</si>
  <si>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</si>
  <si>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</si>
  <si>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</si>
  <si>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</si>
  <si>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</si>
  <si>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</si>
  <si>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</si>
  <si>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</si>
  <si>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</si>
  <si>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</si>
  <si>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</si>
  <si>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</si>
  <si>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</si>
  <si>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</si>
  <si>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</si>
  <si>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</si>
  <si>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</si>
  <si>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</si>
  <si>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</si>
  <si>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</si>
  <si>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</si>
  <si>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</si>
  <si>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</si>
  <si>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</si>
  <si>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</si>
  <si>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</si>
  <si>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</si>
  <si>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</si>
  <si>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</si>
  <si>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</si>
  <si>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</si>
  <si>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</si>
  <si>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</si>
  <si>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</si>
  <si>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</si>
  <si>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</si>
  <si>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</si>
  <si>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</si>
  <si>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</si>
  <si>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</si>
  <si>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</si>
  <si>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</si>
  <si>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</si>
  <si>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</si>
  <si>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</si>
  <si>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</si>
  <si>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</si>
  <si>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</si>
  <si>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</si>
  <si>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</si>
  <si>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</si>
  <si>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</si>
  <si>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</si>
  <si>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</si>
  <si>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</si>
  <si>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</si>
  <si>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</si>
  <si>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</si>
  <si>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</si>
  <si>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</si>
  <si>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</si>
  <si>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</si>
  <si>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</si>
  <si>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</si>
  <si>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</si>
  <si>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</si>
  <si>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</si>
  <si>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</si>
  <si>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</si>
  <si>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</si>
  <si>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</si>
  <si>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</si>
  <si>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</si>
  <si>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</si>
  <si>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</si>
  <si>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</si>
  <si>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</si>
  <si>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</si>
  <si>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</si>
  <si>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</si>
  <si>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</si>
  <si>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</si>
  <si>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</si>
  <si>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</si>
  <si>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</si>
  <si>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</si>
  <si>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</si>
  <si>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</si>
  <si>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</si>
  <si>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</si>
  <si>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</si>
  <si>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</si>
  <si>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</si>
  <si>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</si>
  <si>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</si>
  <si>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</si>
  <si>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</si>
  <si>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</si>
  <si>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</si>
  <si>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</si>
  <si>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</si>
  <si>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</si>
  <si>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</si>
  <si>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</si>
  <si>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</si>
  <si>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</si>
  <si>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</si>
  <si>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</si>
  <si>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</si>
  <si>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</si>
  <si>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</si>
  <si>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</si>
  <si>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</si>
  <si>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</si>
  <si>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</si>
  <si>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</si>
  <si>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</si>
  <si>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</si>
  <si>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</si>
  <si>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</si>
  <si>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</si>
  <si>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</si>
  <si>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</si>
  <si>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</si>
  <si>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</si>
  <si>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</si>
  <si>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</si>
  <si>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</si>
  <si>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</si>
  <si>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</si>
  <si>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</si>
  <si>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</si>
  <si>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</si>
  <si>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</si>
  <si>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</si>
  <si>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</si>
  <si>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</si>
  <si>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</si>
  <si>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</si>
  <si>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</si>
  <si>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</si>
  <si>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</si>
  <si>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</si>
  <si>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</si>
  <si>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</si>
  <si>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</si>
  <si>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</si>
  <si>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</si>
  <si>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</si>
  <si>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</si>
  <si>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</si>
  <si>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</si>
  <si>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</si>
  <si>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</si>
  <si>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</si>
  <si>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</si>
  <si>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</si>
  <si>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</si>
  <si>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</si>
  <si>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</si>
  <si>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</si>
  <si>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</si>
  <si>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</si>
  <si>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</si>
  <si>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</si>
  <si>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</si>
  <si>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</si>
  <si>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</si>
  <si>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</si>
  <si>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</si>
  <si>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</si>
  <si>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</si>
  <si>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</si>
  <si>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</si>
  <si>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</si>
  <si>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</si>
  <si>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</si>
  <si>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</si>
  <si>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</si>
  <si>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</si>
  <si>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</si>
  <si>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</si>
  <si>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</si>
  <si>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</si>
  <si>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</si>
  <si>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</si>
  <si>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</si>
  <si>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</si>
  <si>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</si>
  <si>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</si>
  <si>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</si>
  <si>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</si>
  <si>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</si>
  <si>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</si>
  <si>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</si>
  <si>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</si>
  <si>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</si>
  <si>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</si>
  <si>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</si>
  <si>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</si>
  <si>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</si>
  <si>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</si>
  <si>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</si>
  <si>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</si>
  <si>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</si>
  <si>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</si>
  <si>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</si>
  <si>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</si>
  <si>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</si>
  <si>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</si>
  <si>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</si>
  <si>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</si>
  <si>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</si>
  <si>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</si>
  <si>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</si>
  <si>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</si>
  <si>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</si>
  <si>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</si>
  <si>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</si>
  <si>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</si>
  <si>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</si>
  <si>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</si>
  <si>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</si>
  <si>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</si>
  <si>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</si>
  <si>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</si>
  <si>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</si>
  <si>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</si>
  <si>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</si>
  <si>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</si>
  <si>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</si>
  <si>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</si>
  <si>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</si>
  <si>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</si>
  <si>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</si>
  <si>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</si>
  <si>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</si>
  <si>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</si>
  <si>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</si>
  <si>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</si>
  <si>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</si>
  <si>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</si>
  <si>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</si>
  <si>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</si>
  <si>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</si>
  <si>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</si>
  <si>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</si>
  <si>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</si>
  <si>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</si>
  <si>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</si>
  <si>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</si>
  <si>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</si>
  <si>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</si>
  <si>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</si>
  <si>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</si>
  <si>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</si>
  <si>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</si>
  <si>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</si>
  <si>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</si>
  <si>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</si>
  <si>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</si>
  <si>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</si>
  <si>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</si>
  <si>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</si>
  <si>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</si>
  <si>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</si>
  <si>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</si>
  <si>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</si>
  <si>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</si>
  <si>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</si>
  <si>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</si>
  <si>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</si>
  <si>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</si>
  <si>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</si>
  <si>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</si>
  <si>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</si>
  <si>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</si>
  <si>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</si>
  <si>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</si>
  <si>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</si>
  <si>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</si>
  <si>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</si>
  <si>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</si>
  <si>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</si>
  <si>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</si>
  <si>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</si>
  <si>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</si>
  <si>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</si>
  <si>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</si>
  <si>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</si>
  <si>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</si>
  <si>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</si>
  <si>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</si>
  <si>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</si>
  <si>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</si>
  <si>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</si>
  <si>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</si>
  <si>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</si>
  <si>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</si>
  <si>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</si>
  <si>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</si>
  <si>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</si>
  <si>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</si>
  <si>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</si>
  <si>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</si>
  <si>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</si>
  <si>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</si>
  <si>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</si>
  <si>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</si>
  <si>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</si>
  <si>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</si>
  <si>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</si>
  <si>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</si>
  <si>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</si>
  <si>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</si>
  <si>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</si>
  <si>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</si>
  <si>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</si>
  <si>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</si>
  <si>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</si>
  <si>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</si>
  <si>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</si>
  <si>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</si>
  <si>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</si>
  <si>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</si>
  <si>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</si>
  <si>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</si>
  <si>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</si>
  <si>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</si>
  <si>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</si>
  <si>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</si>
  <si>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</si>
  <si>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</si>
  <si>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</si>
  <si>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</si>
  <si>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</si>
  <si>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</si>
  <si>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</si>
  <si>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</si>
  <si>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</si>
  <si>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</si>
  <si>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</si>
  <si>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</si>
  <si>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</si>
  <si>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</si>
  <si>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</si>
  <si>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</si>
  <si>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</si>
  <si>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</si>
  <si>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</si>
  <si>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</si>
  <si>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</si>
  <si>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</si>
  <si>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</si>
  <si>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</si>
  <si>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</si>
  <si>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</si>
  <si>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</si>
  <si>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</si>
  <si>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</si>
  <si>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</si>
  <si>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</si>
  <si>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</si>
  <si>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</si>
  <si>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</si>
  <si>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</si>
  <si>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</si>
  <si>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</si>
  <si>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</si>
  <si>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</si>
  <si>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</si>
  <si>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</si>
  <si>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</si>
  <si>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</si>
  <si>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</si>
  <si>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</si>
  <si>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</si>
  <si>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</si>
  <si>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</si>
  <si>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</si>
  <si>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</si>
  <si>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</si>
  <si>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</si>
  <si>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</si>
  <si>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</si>
  <si>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</si>
  <si>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</si>
  <si>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</si>
  <si>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</si>
  <si>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</si>
  <si>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</si>
  <si>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</si>
  <si>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</si>
  <si>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</si>
  <si>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</si>
  <si>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</si>
  <si>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</si>
  <si>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</si>
  <si>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</si>
  <si>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</si>
  <si>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</si>
  <si>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</si>
  <si>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</si>
  <si>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</si>
  <si>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</si>
  <si>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</si>
  <si>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</si>
  <si>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</si>
  <si>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</si>
  <si>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</si>
  <si>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</si>
  <si>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</si>
  <si>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</si>
  <si>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</si>
  <si>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</si>
  <si>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</si>
  <si>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</si>
  <si>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</si>
  <si>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</si>
  <si>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</si>
  <si>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</si>
  <si>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</si>
  <si>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</si>
  <si>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</si>
  <si>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</si>
  <si>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</si>
  <si>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</si>
  <si>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</si>
  <si>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</si>
  <si>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</si>
  <si>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</si>
  <si>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</si>
  <si>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</si>
  <si>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</si>
  <si>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</si>
  <si>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</si>
  <si>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</si>
  <si>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</si>
  <si>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</si>
  <si>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</si>
  <si>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</si>
  <si>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</si>
  <si>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</si>
  <si>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</si>
  <si>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</si>
  <si>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</si>
  <si>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</si>
  <si>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</si>
  <si>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</si>
  <si>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</si>
  <si>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</si>
  <si>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</si>
  <si>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</si>
  <si>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</si>
  <si>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</si>
  <si>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</si>
  <si>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</si>
  <si>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</si>
  <si>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</si>
  <si>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</si>
  <si>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</si>
  <si>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</si>
  <si>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</si>
  <si>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</si>
  <si>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</si>
  <si>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</si>
  <si>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</si>
  <si>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</si>
  <si>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</si>
  <si>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</si>
  <si>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</si>
  <si>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</si>
  <si>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</si>
  <si>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</si>
  <si>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</si>
  <si>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</si>
  <si>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</si>
  <si>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</si>
  <si>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</si>
  <si>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</si>
  <si>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</si>
  <si>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</si>
  <si>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</si>
  <si>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</si>
  <si>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</si>
  <si>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</si>
  <si>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</si>
  <si>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</si>
  <si>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</si>
  <si>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</si>
  <si>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</si>
  <si>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</si>
  <si>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</si>
  <si>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</si>
  <si>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</si>
  <si>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</si>
  <si>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</si>
  <si>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</si>
  <si>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</si>
  <si>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</si>
  <si>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</si>
  <si>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</si>
  <si>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</si>
  <si>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</si>
  <si>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</si>
  <si>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</si>
  <si>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</si>
  <si>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</si>
  <si>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</si>
  <si>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</si>
  <si>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</si>
  <si>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</si>
  <si>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</si>
  <si>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</si>
  <si>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</si>
  <si>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</si>
  <si>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</si>
  <si>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</si>
  <si>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</si>
  <si>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</si>
  <si>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</si>
  <si>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</si>
  <si>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</si>
  <si>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</si>
  <si>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</si>
  <si>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</si>
  <si>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</si>
  <si>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</si>
  <si>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</si>
  <si>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</si>
  <si>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</si>
  <si>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</si>
  <si>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</si>
  <si>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</si>
  <si>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</si>
  <si>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</si>
  <si>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</si>
  <si>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</si>
  <si>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</si>
  <si>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</si>
  <si>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</si>
  <si>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</si>
  <si>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</si>
  <si>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</si>
  <si>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</si>
  <si>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</si>
  <si>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</si>
  <si>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</si>
  <si>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</si>
  <si>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</si>
  <si>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</si>
  <si>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</si>
  <si>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</si>
  <si>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</si>
  <si>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</si>
  <si>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</si>
  <si>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</si>
  <si>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</si>
  <si>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</si>
  <si>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</si>
  <si>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</si>
  <si>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</si>
  <si>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</si>
  <si>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</si>
  <si>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</si>
  <si>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</si>
  <si>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</si>
  <si>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</si>
  <si>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</si>
  <si>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</si>
  <si>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</si>
  <si>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</si>
  <si>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</si>
  <si>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</si>
  <si>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</si>
  <si>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</si>
  <si>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</si>
  <si>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</si>
  <si>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</si>
  <si>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</si>
  <si>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</si>
  <si>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</si>
  <si>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</si>
  <si>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</si>
  <si>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</si>
  <si>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</si>
  <si>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</si>
  <si>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</si>
  <si>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</si>
  <si>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</si>
  <si>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</si>
  <si>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</si>
  <si>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</si>
  <si>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</si>
  <si>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</si>
  <si>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</si>
  <si>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</si>
  <si>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</si>
  <si>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</si>
  <si>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</si>
  <si>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</si>
  <si>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</si>
  <si>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</si>
  <si>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</si>
  <si>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</si>
  <si>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</si>
  <si>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</si>
  <si>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</si>
  <si>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</si>
  <si>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</si>
  <si>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</si>
  <si>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</si>
  <si>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</si>
  <si>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</si>
  <si>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</si>
  <si>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</si>
  <si>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</si>
  <si>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</si>
  <si>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</si>
  <si>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</si>
  <si>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</si>
  <si>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</si>
  <si>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</si>
  <si>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</si>
  <si>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</si>
  <si>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</si>
  <si>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</si>
  <si>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</si>
  <si>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</si>
  <si>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</si>
  <si>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</si>
  <si>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</si>
  <si>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</si>
  <si>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</si>
  <si>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</si>
  <si>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</si>
  <si>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</si>
  <si>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</si>
  <si>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</si>
  <si>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</si>
  <si>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</si>
  <si>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</si>
  <si>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</si>
  <si>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</si>
  <si>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</si>
  <si>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</si>
  <si>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</si>
  <si>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</si>
  <si>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</si>
  <si>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</si>
  <si>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</si>
  <si>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</si>
  <si>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</si>
  <si>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</si>
  <si>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</si>
  <si>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</si>
  <si>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</si>
  <si>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</si>
  <si>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</si>
  <si>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</si>
  <si>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</si>
  <si>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</si>
  <si>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</si>
  <si>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</si>
  <si>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</si>
  <si>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</si>
  <si>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</si>
  <si>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</si>
  <si>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</si>
  <si>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</si>
  <si>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</si>
  <si>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</si>
  <si>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</si>
  <si>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</si>
  <si>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</si>
  <si>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</si>
  <si>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</si>
  <si>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</si>
  <si>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</si>
  <si>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</si>
  <si>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</si>
  <si>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</si>
  <si>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</si>
  <si>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</si>
  <si>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</si>
  <si>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</si>
  <si>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</si>
  <si>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</si>
  <si>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</si>
  <si>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</si>
  <si>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</si>
  <si>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</si>
  <si>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</si>
  <si>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</si>
  <si>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</si>
  <si>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</si>
  <si>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</si>
  <si>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</si>
  <si>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</si>
  <si>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</si>
  <si>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</si>
  <si>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</si>
  <si>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</si>
  <si>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</si>
  <si>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</si>
  <si>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</si>
  <si>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</si>
  <si>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</si>
  <si>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</si>
  <si>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</si>
  <si>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</si>
  <si>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</si>
  <si>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</si>
  <si>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</si>
  <si>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</si>
  <si>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</si>
  <si>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</si>
  <si>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</si>
  <si>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</si>
  <si>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</si>
  <si>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</si>
  <si>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</si>
  <si>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</si>
  <si>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</si>
  <si>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</si>
  <si>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</si>
  <si>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</si>
  <si>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</si>
  <si>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</si>
  <si>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</si>
  <si>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</si>
  <si>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</si>
  <si>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</si>
  <si>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</si>
  <si>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</si>
  <si>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</si>
  <si>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</si>
  <si>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</si>
  <si>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</si>
  <si>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</si>
  <si>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</si>
  <si>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</si>
  <si>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</si>
  <si>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</si>
  <si>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</si>
  <si>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</si>
  <si>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</si>
  <si>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</si>
  <si>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</si>
  <si>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</si>
  <si>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</si>
  <si>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</si>
  <si>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</si>
  <si>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</si>
  <si>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</si>
  <si>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</si>
  <si>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</si>
  <si>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</si>
  <si>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</si>
  <si>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</si>
  <si>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</si>
  <si>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</si>
  <si>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</si>
  <si>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</si>
  <si>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</si>
  <si>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</si>
  <si>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</si>
  <si>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</si>
  <si>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</si>
  <si>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</si>
  <si>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</si>
  <si>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</si>
  <si>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</si>
  <si>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</si>
  <si>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</si>
  <si>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</si>
  <si>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</si>
  <si>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</si>
  <si>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</si>
  <si>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</si>
  <si>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</si>
  <si>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</si>
  <si>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</si>
  <si>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</si>
  <si>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</si>
  <si>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</si>
  <si>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</si>
  <si>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</si>
  <si>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</si>
  <si>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</si>
  <si>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</si>
  <si>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</si>
  <si>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</si>
  <si>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</si>
  <si>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</si>
  <si>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</si>
  <si>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</si>
  <si>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</si>
  <si>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</si>
  <si>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</si>
  <si>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</si>
  <si>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</si>
  <si>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</si>
  <si>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</si>
  <si>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</si>
  <si>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</si>
  <si>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</si>
  <si>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</si>
  <si>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</si>
  <si>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</si>
  <si>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</si>
  <si>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</si>
  <si>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</si>
  <si>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</si>
  <si>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</si>
  <si>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</si>
  <si>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</si>
  <si>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</si>
  <si>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</si>
  <si>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</si>
  <si>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</si>
  <si>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</si>
  <si>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</si>
  <si>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</si>
  <si>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</si>
  <si>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</si>
  <si>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</si>
  <si>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</si>
  <si>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</si>
  <si>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</si>
  <si>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</si>
  <si>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</si>
  <si>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</si>
  <si>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</si>
  <si>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</si>
  <si>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</si>
  <si>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</si>
  <si>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</si>
  <si>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</si>
  <si>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</si>
  <si>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</si>
  <si>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</si>
  <si>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</si>
  <si>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</si>
  <si>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</si>
  <si>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</si>
  <si>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</si>
  <si>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</si>
  <si>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</si>
  <si>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</si>
  <si>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</si>
  <si>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</si>
  <si>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</si>
  <si>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</si>
  <si>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</si>
  <si>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</si>
  <si>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</si>
  <si>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</si>
  <si>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</si>
  <si>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</si>
  <si>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</si>
  <si>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</si>
  <si>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</si>
  <si>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</si>
  <si>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</si>
  <si>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</si>
  <si>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</si>
  <si>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</si>
  <si>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</si>
  <si>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</si>
  <si>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</si>
  <si>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</si>
  <si>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</si>
  <si>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</si>
  <si>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</si>
  <si>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</si>
  <si>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</si>
  <si>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</si>
  <si>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</si>
  <si>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</si>
  <si>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</si>
  <si>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</si>
  <si>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</si>
  <si>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</si>
  <si>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</si>
  <si>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</si>
  <si>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</si>
  <si>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</si>
  <si>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</si>
  <si>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</si>
  <si>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</si>
  <si>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</si>
  <si>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</si>
  <si>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</si>
  <si>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</si>
  <si>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</si>
  <si>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</si>
  <si>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</si>
  <si>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</si>
  <si>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</si>
  <si>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</si>
  <si>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</si>
  <si>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</si>
  <si>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</si>
  <si>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</si>
  <si>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</si>
  <si>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</si>
  <si>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</si>
  <si>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</si>
  <si>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</si>
  <si>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</si>
  <si>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</si>
  <si>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</si>
  <si>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</si>
  <si>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</si>
  <si>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</si>
  <si>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</si>
  <si>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</si>
  <si>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</si>
  <si>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</si>
  <si>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</si>
  <si>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</si>
  <si>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</si>
  <si>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</si>
  <si>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</si>
  <si>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</si>
  <si>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</si>
  <si>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</si>
  <si>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</si>
  <si>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</si>
  <si>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</si>
  <si>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</si>
  <si>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</si>
  <si>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</si>
  <si>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</si>
  <si>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</si>
  <si>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</si>
  <si>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</si>
  <si>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</si>
  <si>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</si>
  <si>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</si>
  <si>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</si>
  <si>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</si>
  <si>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</si>
  <si>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</si>
  <si>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</si>
  <si>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</si>
  <si>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</si>
  <si>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</si>
  <si>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</si>
  <si>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</si>
  <si>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</si>
  <si>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</si>
  <si>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</si>
  <si>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</si>
  <si>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</si>
  <si>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</si>
  <si>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</si>
  <si>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</si>
  <si>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</si>
  <si>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</si>
  <si>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</si>
  <si>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</si>
  <si>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</si>
  <si>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</si>
  <si>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</si>
  <si>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</si>
  <si>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</si>
  <si>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</si>
  <si>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</si>
  <si>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</si>
  <si>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</si>
  <si>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</si>
  <si>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</si>
  <si>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</si>
  <si>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</si>
  <si>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</si>
  <si>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</si>
  <si>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</si>
  <si>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</si>
  <si>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</si>
  <si>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</si>
  <si>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</si>
  <si>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</si>
  <si>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</si>
  <si>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</si>
  <si>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</si>
  <si>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</si>
  <si>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</si>
  <si>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</si>
  <si>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</si>
  <si>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</si>
  <si>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</si>
  <si>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</si>
  <si>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</si>
  <si>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</si>
  <si>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</si>
  <si>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</si>
  <si>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</si>
  <si>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</si>
  <si>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</si>
  <si>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</si>
  <si>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</si>
  <si>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</si>
  <si>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</si>
  <si>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</si>
  <si>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</si>
  <si>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</si>
  <si>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</si>
  <si>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</si>
  <si>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</si>
  <si>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</si>
  <si>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</si>
  <si>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</si>
  <si>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</si>
  <si>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</si>
  <si>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</si>
  <si>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</si>
  <si>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</si>
  <si>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</si>
  <si>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</si>
  <si>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</si>
  <si>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</si>
  <si>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</si>
  <si>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</si>
  <si>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</si>
  <si>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</si>
  <si>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</si>
  <si>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</si>
  <si>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</si>
  <si>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</si>
  <si>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</si>
  <si>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</si>
  <si>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</si>
  <si>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</si>
  <si>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</si>
  <si>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</si>
  <si>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</si>
  <si>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</si>
  <si>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</si>
  <si>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</si>
  <si>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</si>
  <si>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</si>
  <si>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</si>
  <si>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</si>
  <si>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</si>
  <si>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</si>
  <si>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</si>
  <si>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</si>
  <si>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</si>
  <si>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</si>
  <si>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</si>
  <si>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</si>
  <si>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</si>
  <si>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</si>
  <si>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</si>
  <si>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</si>
  <si>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</si>
  <si>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</si>
  <si>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</si>
  <si>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</si>
  <si>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</si>
  <si>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</si>
  <si>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</si>
  <si>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</si>
  <si>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</si>
  <si>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</si>
  <si>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</si>
  <si>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</si>
  <si>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</si>
  <si>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</si>
  <si>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</si>
  <si>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</si>
  <si>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</si>
  <si>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</si>
  <si>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</si>
  <si>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</si>
  <si>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</si>
  <si>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</si>
  <si>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</si>
  <si>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</si>
  <si>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</si>
  <si>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</si>
  <si>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</si>
  <si>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</si>
  <si>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</si>
  <si>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</si>
  <si>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</si>
  <si>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</si>
  <si>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</si>
  <si>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</si>
  <si>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</si>
  <si>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</si>
  <si>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</si>
  <si>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</si>
  <si>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</si>
  <si>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</si>
  <si>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</si>
  <si>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</si>
  <si>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</si>
  <si>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</si>
  <si>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</si>
  <si>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</si>
  <si>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</si>
  <si>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</si>
  <si>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</si>
  <si>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</si>
  <si>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</si>
  <si>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</si>
  <si>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</si>
  <si>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</si>
  <si>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</si>
  <si>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</si>
  <si>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</si>
  <si>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</si>
  <si>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</si>
  <si>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</si>
  <si>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</si>
  <si>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</si>
  <si>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</si>
  <si>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</si>
  <si>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</si>
  <si>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</si>
  <si>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</si>
  <si>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</si>
  <si>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</si>
  <si>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</si>
  <si>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</si>
  <si>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</si>
  <si>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</si>
  <si>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</si>
  <si>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</si>
  <si>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</si>
  <si>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</si>
  <si>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</si>
  <si>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</si>
  <si>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</si>
  <si>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</si>
  <si>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</si>
  <si>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</si>
  <si>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</si>
  <si>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</si>
  <si>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</si>
  <si>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</si>
  <si>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</si>
  <si>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</si>
  <si>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</si>
  <si>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</si>
  <si>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</si>
  <si>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</si>
  <si>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</si>
  <si>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</si>
  <si>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</si>
  <si>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</si>
  <si>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</si>
  <si>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</si>
  <si>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</si>
  <si>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</si>
  <si>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</si>
  <si>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</si>
  <si>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</si>
  <si>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</si>
  <si>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</si>
  <si>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</si>
  <si>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</si>
  <si>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</si>
  <si>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</si>
  <si>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</si>
  <si>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</si>
  <si>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</si>
  <si>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</si>
  <si>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</si>
  <si>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</si>
  <si>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</si>
  <si>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</si>
  <si>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</si>
  <si>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</si>
  <si>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</si>
  <si>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</si>
  <si>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</si>
  <si>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</si>
  <si>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</si>
  <si>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</si>
  <si>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</si>
  <si>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</si>
  <si>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</si>
  <si>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</si>
  <si>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</si>
  <si>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</si>
  <si>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</si>
  <si>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</si>
  <si>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</si>
  <si>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</si>
  <si>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</si>
  <si>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</si>
  <si>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</si>
  <si>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</si>
  <si>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</si>
  <si>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</si>
  <si>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</si>
  <si>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</si>
  <si>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</si>
  <si>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</si>
  <si>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</si>
  <si>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</si>
  <si>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</si>
  <si>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</si>
  <si>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</si>
  <si>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</si>
  <si>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</si>
  <si>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</si>
  <si>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</si>
  <si>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</si>
  <si>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</si>
  <si>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</si>
  <si>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</si>
  <si>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</si>
  <si>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</si>
  <si>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</si>
  <si>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</si>
  <si>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</si>
  <si>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</si>
  <si>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</si>
  <si>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</si>
  <si>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</si>
  <si>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</si>
  <si>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</si>
  <si>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</si>
  <si>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</si>
  <si>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</si>
  <si>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</si>
  <si>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</si>
  <si>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</si>
  <si>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</si>
  <si>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</si>
  <si>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</si>
  <si>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</si>
  <si>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</si>
  <si>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</si>
  <si>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</si>
  <si>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</si>
  <si>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</si>
  <si>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</si>
  <si>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</si>
  <si>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</si>
  <si>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</si>
  <si>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</si>
  <si>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</si>
  <si>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</si>
  <si>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</si>
  <si>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</si>
  <si>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</si>
  <si>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</si>
  <si>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</si>
  <si>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</si>
  <si>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</si>
  <si>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</si>
  <si>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</si>
  <si>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</si>
  <si>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</si>
  <si>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</si>
  <si>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</si>
  <si>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</si>
  <si>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</si>
  <si>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</si>
  <si>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</si>
  <si>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</si>
  <si>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</si>
  <si>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</si>
  <si>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</si>
  <si>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</si>
  <si>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</si>
  <si>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</si>
  <si>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</si>
  <si>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</si>
  <si>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</si>
  <si>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</si>
  <si>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</si>
  <si>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</si>
  <si>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</si>
  <si>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</si>
  <si>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</si>
  <si>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</si>
  <si>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</si>
  <si>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</si>
  <si>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</si>
  <si>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</si>
  <si>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</si>
  <si>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</si>
  <si>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</si>
  <si>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</si>
  <si>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</si>
  <si>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</si>
  <si>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</si>
  <si>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</si>
  <si>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</si>
  <si>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</si>
  <si>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</si>
  <si>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</si>
  <si>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</si>
  <si>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</si>
  <si>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</si>
  <si>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</si>
  <si>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</si>
  <si>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</si>
  <si>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</si>
  <si>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</si>
  <si>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</si>
  <si>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</si>
  <si>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</si>
  <si>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</si>
  <si>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</si>
  <si>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</si>
  <si>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</si>
  <si>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</si>
  <si>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</si>
  <si>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</si>
  <si>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</si>
  <si>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</si>
  <si>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</si>
  <si>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</si>
  <si>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</si>
  <si>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</si>
  <si>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</si>
  <si>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</si>
  <si>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</si>
  <si>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</si>
  <si>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</si>
  <si>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</si>
  <si>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</si>
  <si>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</si>
  <si>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</si>
  <si>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</si>
  <si>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</si>
  <si>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</si>
  <si>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</si>
  <si>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</si>
  <si>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</si>
  <si>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</si>
  <si>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</si>
  <si>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</si>
  <si>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</si>
  <si>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</si>
  <si>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</si>
  <si>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</si>
  <si>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</si>
  <si>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</si>
  <si>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</si>
  <si>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</si>
  <si>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</si>
  <si>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</si>
  <si>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</si>
  <si>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</si>
  <si>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</si>
  <si>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</si>
  <si>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</si>
  <si>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</si>
  <si>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</si>
  <si>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</si>
  <si>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</si>
  <si>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</si>
  <si>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</si>
  <si>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</si>
  <si>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</si>
  <si>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</si>
  <si>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</si>
  <si>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</si>
  <si>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</si>
  <si>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</si>
  <si>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</si>
  <si>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</si>
  <si>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</si>
  <si>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</si>
  <si>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</si>
  <si>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</si>
  <si>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</si>
  <si>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</si>
  <si>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</si>
  <si>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</si>
  <si>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</si>
  <si>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</si>
  <si>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</si>
  <si>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</si>
  <si>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</si>
  <si>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</si>
  <si>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</si>
  <si>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</si>
  <si>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</si>
  <si>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</si>
  <si>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</si>
  <si>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</si>
  <si>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</si>
  <si>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</si>
  <si>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</si>
  <si>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</si>
  <si>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</si>
  <si>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</si>
  <si>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</si>
  <si>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</si>
  <si>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</si>
  <si>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</si>
  <si>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</si>
  <si>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</si>
  <si>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</si>
  <si>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</si>
  <si>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</si>
  <si>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</si>
  <si>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</si>
  <si>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</si>
  <si>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</si>
  <si>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</si>
  <si>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</si>
  <si>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</si>
  <si>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</si>
  <si>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</si>
  <si>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</si>
  <si>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</si>
  <si>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</si>
  <si>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</si>
  <si>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</si>
  <si>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</si>
  <si>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</si>
  <si>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</si>
  <si>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</si>
  <si>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</si>
  <si>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</si>
  <si>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</si>
  <si>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</si>
  <si>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</si>
  <si>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</si>
  <si>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</si>
  <si>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</si>
  <si>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</si>
  <si>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</si>
  <si>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</si>
  <si>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</si>
  <si>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</si>
  <si>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</si>
  <si>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</si>
  <si>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</si>
  <si>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</si>
  <si>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</si>
  <si>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</si>
  <si>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</si>
  <si>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</si>
  <si>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</si>
  <si>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</si>
  <si>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</si>
  <si>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</si>
  <si>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</si>
  <si>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</si>
  <si>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</si>
  <si>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</si>
  <si>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</si>
  <si>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</si>
  <si>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</si>
  <si>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</si>
  <si>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</si>
  <si>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</si>
  <si>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</si>
  <si>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</si>
  <si>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</si>
  <si>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</si>
  <si>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</si>
  <si>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</si>
  <si>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</si>
  <si>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</si>
  <si>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</si>
  <si>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</si>
  <si>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</si>
  <si>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</si>
  <si>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</si>
  <si>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</si>
  <si>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</si>
  <si>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</si>
  <si>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</si>
  <si>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</si>
  <si>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</si>
  <si>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</si>
  <si>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</si>
  <si>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</si>
  <si>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</si>
  <si>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</si>
  <si>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</si>
  <si>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</si>
  <si>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</si>
  <si>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</si>
  <si>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</si>
  <si>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</si>
  <si>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</si>
  <si>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</si>
  <si>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</si>
  <si>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</si>
  <si>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</si>
  <si>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</si>
  <si>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</si>
  <si>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</si>
  <si>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</si>
  <si>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</si>
  <si>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</si>
  <si>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</si>
  <si>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</si>
  <si>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</si>
  <si>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</si>
  <si>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</si>
  <si>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</si>
  <si>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</si>
  <si>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</si>
  <si>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</si>
  <si>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</si>
  <si>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</si>
  <si>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</si>
  <si>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</si>
  <si>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</si>
  <si>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</si>
  <si>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</si>
  <si>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</si>
  <si>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</si>
  <si>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</si>
  <si>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</si>
  <si>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</si>
  <si>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</si>
  <si>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</si>
  <si>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</si>
  <si>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</si>
  <si>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</si>
  <si>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</si>
  <si>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</si>
  <si>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</si>
  <si>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</si>
  <si>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</si>
  <si>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</si>
  <si>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</si>
  <si>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</si>
  <si>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</si>
  <si>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</si>
  <si>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</si>
  <si>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</si>
  <si>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</si>
  <si>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</si>
  <si>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</si>
  <si>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</si>
  <si>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</si>
  <si>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</si>
  <si>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</si>
  <si>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</si>
  <si>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</si>
  <si>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</si>
  <si>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</si>
  <si>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</si>
  <si>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</si>
  <si>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</si>
  <si>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</si>
  <si>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</si>
  <si>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</si>
  <si>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</si>
  <si>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</si>
  <si>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</si>
  <si>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</si>
  <si>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</si>
  <si>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</si>
  <si>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</si>
  <si>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</si>
  <si>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</si>
  <si>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</si>
  <si>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</si>
  <si>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</si>
  <si>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</si>
  <si>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</si>
  <si>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</si>
  <si>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</si>
  <si>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</si>
  <si>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</si>
  <si>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</si>
  <si>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</si>
  <si>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</si>
  <si>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</si>
  <si>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</si>
  <si>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</si>
  <si>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</si>
  <si>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</si>
  <si>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</si>
  <si>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</si>
  <si>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</si>
  <si>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</si>
  <si>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</si>
  <si>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</si>
  <si>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</si>
  <si>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</si>
  <si>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</si>
  <si>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</si>
  <si>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</si>
  <si>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</si>
  <si>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</si>
  <si>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</si>
  <si>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</si>
  <si>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</si>
  <si>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</si>
  <si>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</si>
  <si>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</si>
  <si>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</si>
  <si>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</si>
  <si>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</si>
  <si>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</si>
  <si>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</si>
  <si>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</si>
  <si>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</si>
  <si>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</si>
  <si>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</si>
  <si>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</si>
  <si>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</si>
  <si>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</si>
  <si>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</si>
  <si>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</si>
  <si>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</si>
  <si>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</si>
  <si>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</si>
  <si>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</si>
  <si>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</si>
  <si>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</si>
  <si>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</si>
  <si>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</si>
  <si>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</si>
  <si>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</si>
  <si>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</si>
  <si>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</si>
  <si>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</si>
  <si>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</si>
  <si>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</si>
  <si>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</si>
  <si>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</si>
  <si>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</si>
  <si>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</si>
  <si>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</si>
  <si>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</si>
  <si>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</si>
  <si>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</si>
  <si>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</si>
  <si>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</si>
  <si>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</si>
  <si>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</si>
  <si>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</si>
  <si>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</si>
  <si>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</si>
  <si>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</si>
  <si>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</si>
  <si>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</si>
  <si>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</si>
  <si>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</si>
  <si>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</si>
  <si>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</si>
  <si>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</si>
  <si>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</si>
  <si>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</si>
  <si>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</si>
  <si>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</si>
  <si>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</si>
  <si>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</si>
  <si>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</si>
  <si>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</si>
  <si>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</si>
  <si>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</si>
  <si>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</si>
  <si>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</si>
  <si>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</si>
  <si>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</si>
  <si>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</si>
  <si>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</si>
  <si>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</si>
  <si>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</si>
  <si>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</si>
  <si>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</si>
  <si>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</si>
  <si>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</si>
  <si>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</si>
  <si>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</si>
  <si>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</si>
  <si>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</si>
  <si>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</si>
  <si>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</si>
  <si>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</si>
  <si>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</si>
  <si>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</si>
  <si>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</si>
  <si>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</si>
  <si>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</si>
  <si>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</si>
  <si>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</si>
  <si>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</si>
  <si>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</si>
  <si>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</si>
  <si>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</si>
  <si>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</si>
  <si>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</si>
  <si>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</si>
  <si>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</si>
  <si>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</si>
  <si>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</si>
  <si>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</si>
  <si>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</si>
  <si>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</si>
  <si>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</si>
  <si>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</si>
  <si>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</si>
  <si>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</si>
  <si>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</si>
  <si>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</si>
  <si>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</si>
  <si>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</si>
  <si>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</si>
  <si>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</si>
  <si>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</si>
  <si>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</si>
  <si>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</si>
  <si>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</si>
  <si>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</si>
  <si>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</si>
  <si>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</si>
  <si>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</si>
  <si>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</si>
  <si>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</si>
  <si>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</si>
  <si>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</si>
  <si>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</si>
  <si>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</si>
  <si>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</si>
  <si>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</si>
  <si>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</si>
  <si>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</si>
  <si>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</si>
  <si>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</si>
  <si>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</si>
  <si>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</si>
  <si>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</si>
  <si>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</si>
  <si>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</si>
  <si>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</si>
  <si>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</si>
  <si>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</si>
  <si>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</si>
  <si>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</si>
  <si>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</si>
  <si>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</si>
  <si>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</si>
  <si>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</si>
  <si>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</si>
  <si>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</si>
  <si>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</si>
  <si>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</si>
  <si>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</si>
  <si>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</si>
  <si>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</si>
  <si>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</si>
  <si>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</si>
  <si>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</si>
  <si>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</si>
  <si>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</si>
  <si>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</si>
  <si>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</si>
  <si>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</si>
  <si>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</si>
  <si>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</si>
  <si>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</si>
  <si>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</si>
  <si>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</si>
  <si>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</si>
  <si>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</si>
  <si>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</si>
  <si>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</si>
  <si>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</si>
  <si>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</si>
  <si>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</si>
  <si>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</si>
  <si>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</si>
  <si>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</si>
  <si>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</si>
  <si>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</si>
  <si>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</si>
  <si>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</si>
  <si>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</si>
  <si>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</si>
  <si>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</si>
  <si>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</si>
  <si>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</si>
  <si>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</si>
  <si>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</si>
  <si>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</si>
  <si>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</si>
  <si>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</si>
  <si>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</si>
  <si>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</si>
  <si>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</si>
  <si>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</si>
  <si>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</si>
  <si>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</si>
  <si>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</si>
  <si>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</si>
  <si>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</si>
  <si>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</si>
  <si>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</si>
  <si>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</si>
  <si>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</si>
  <si>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</si>
  <si>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</si>
  <si>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</si>
  <si>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</si>
  <si>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</si>
  <si>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</si>
  <si>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</si>
  <si>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</si>
  <si>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</si>
  <si>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</si>
  <si>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</si>
  <si>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</si>
  <si>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</si>
  <si>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</si>
  <si>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</si>
  <si>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</si>
  <si>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</si>
  <si>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</si>
  <si>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</si>
  <si>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</si>
  <si>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</si>
  <si>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</si>
  <si>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</si>
  <si>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</si>
  <si>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</si>
  <si>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</si>
  <si>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</si>
  <si>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</si>
  <si>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</si>
  <si>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</si>
  <si>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</si>
  <si>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</si>
  <si>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</si>
  <si>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</si>
  <si>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</si>
  <si>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</si>
  <si>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</si>
  <si>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</si>
  <si>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</si>
  <si>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</si>
  <si>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</si>
  <si>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</si>
  <si>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</si>
  <si>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</si>
  <si>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</si>
  <si>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</si>
  <si>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</si>
  <si>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</si>
  <si>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</si>
  <si>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</si>
  <si>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</si>
  <si>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</si>
  <si>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</si>
  <si>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</si>
  <si>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</si>
  <si>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</si>
  <si>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</si>
  <si>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</si>
  <si>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</si>
  <si>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</si>
  <si>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</si>
  <si>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</si>
  <si>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</si>
  <si>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</si>
  <si>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</si>
  <si>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</si>
  <si>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</si>
  <si>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</si>
  <si>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</si>
  <si>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</si>
  <si>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</si>
  <si>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</si>
  <si>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</si>
  <si>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</si>
  <si>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</si>
  <si>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</si>
  <si>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</si>
  <si>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</si>
  <si>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</si>
  <si>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</si>
  <si>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</si>
  <si>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</si>
  <si>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</si>
  <si>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</si>
  <si>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</si>
  <si>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</si>
  <si>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</si>
  <si>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</si>
  <si>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</si>
  <si>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</si>
  <si>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</si>
  <si>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</si>
  <si>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</si>
  <si>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</si>
  <si>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</si>
  <si>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</si>
  <si>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</si>
  <si>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</si>
  <si>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</si>
  <si>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</si>
  <si>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</si>
  <si>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</si>
  <si>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</si>
  <si>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</si>
  <si>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</si>
  <si>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</si>
  <si>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</si>
  <si>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</si>
  <si>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</si>
  <si>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</si>
  <si>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</si>
  <si>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</si>
  <si>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</si>
  <si>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</si>
  <si>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</si>
  <si>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</si>
  <si>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</si>
  <si>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</si>
  <si>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</si>
  <si>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</si>
  <si>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</si>
  <si>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</si>
  <si>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</si>
  <si>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</si>
  <si>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</si>
  <si>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</si>
  <si>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</si>
  <si>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</si>
  <si>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</si>
  <si>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</si>
  <si>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</si>
  <si>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</si>
  <si>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</si>
  <si>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</si>
  <si>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</si>
  <si>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</si>
  <si>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</si>
  <si>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</si>
  <si>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</si>
  <si>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</si>
  <si>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</si>
  <si>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</si>
  <si>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</si>
  <si>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</si>
  <si>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</si>
  <si>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</si>
  <si>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</si>
  <si>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</si>
  <si>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</si>
  <si>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</si>
  <si>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</si>
  <si>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</si>
  <si>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</si>
  <si>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</si>
  <si>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</si>
  <si>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</si>
  <si>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</si>
  <si>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</si>
  <si>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</si>
  <si>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</si>
  <si>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</si>
  <si>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</si>
  <si>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</si>
  <si>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</si>
  <si>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</si>
  <si>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</si>
  <si>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</si>
  <si>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</si>
  <si>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</si>
  <si>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</si>
  <si>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</si>
  <si>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</si>
  <si>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</si>
  <si>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</si>
  <si>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</si>
  <si>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</si>
  <si>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</si>
  <si>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</si>
  <si>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</si>
  <si>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</si>
  <si>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</si>
  <si>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</si>
  <si>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</si>
  <si>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</si>
  <si>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</si>
  <si>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</si>
  <si>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</si>
  <si>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</si>
  <si>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</si>
  <si>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</si>
  <si>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</si>
  <si>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</si>
  <si>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</si>
  <si>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</si>
  <si>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</si>
  <si>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</si>
  <si>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</si>
  <si>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</si>
  <si>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</si>
  <si>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</si>
  <si>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</si>
  <si>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</si>
  <si>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</si>
  <si>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</si>
  <si>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</si>
  <si>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</si>
  <si>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</si>
  <si>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</si>
  <si>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</si>
  <si>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</si>
  <si>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</si>
  <si>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</si>
  <si>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</si>
  <si>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</si>
  <si>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</si>
  <si>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</si>
  <si>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</si>
  <si>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</si>
  <si>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</si>
  <si>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</si>
  <si>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</si>
  <si>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</si>
  <si>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</si>
  <si>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</si>
  <si>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</si>
  <si>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</si>
  <si>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</si>
  <si>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</si>
  <si>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</si>
  <si>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</si>
  <si>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</si>
  <si>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</si>
  <si>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</si>
  <si>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</si>
  <si>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</si>
  <si>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</si>
  <si>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</si>
  <si>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</si>
  <si>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</si>
  <si>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</si>
  <si>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</si>
  <si>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</si>
  <si>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</si>
  <si>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</si>
  <si>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</si>
  <si>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</si>
  <si>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</si>
  <si>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</si>
  <si>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</si>
  <si>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</si>
  <si>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</si>
  <si>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</si>
  <si>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</si>
  <si>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</si>
  <si>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</si>
  <si>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</si>
  <si>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</si>
  <si>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</si>
  <si>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</si>
  <si>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</si>
  <si>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</si>
  <si>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</si>
  <si>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</si>
  <si>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</si>
  <si>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</si>
  <si>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</si>
  <si>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</si>
  <si>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</si>
  <si>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</si>
  <si>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</si>
  <si>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</si>
  <si>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</si>
  <si>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</si>
  <si>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</si>
  <si>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</si>
  <si>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</si>
  <si>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</si>
  <si>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</si>
  <si>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</si>
  <si>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</si>
  <si>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</si>
  <si>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</si>
  <si>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</si>
  <si>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</si>
  <si>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</si>
  <si>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</si>
  <si>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</si>
  <si>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</si>
  <si>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</si>
  <si>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</si>
  <si>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</si>
  <si>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</si>
  <si>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</si>
  <si>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</si>
  <si>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</si>
  <si>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</si>
  <si>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</si>
  <si>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</si>
  <si>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</si>
  <si>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</si>
  <si>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</si>
  <si>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</si>
  <si>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</si>
  <si>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</si>
  <si>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</si>
  <si>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</si>
  <si>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</si>
  <si>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</si>
  <si>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</si>
  <si>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</si>
  <si>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</si>
  <si>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</si>
  <si>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</si>
  <si>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</si>
  <si>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</si>
  <si>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</si>
  <si>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</si>
  <si>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</si>
  <si>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</si>
  <si>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</si>
  <si>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</si>
  <si>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</si>
  <si>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</si>
  <si>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Total Customers</t>
  </si>
  <si>
    <t>Churned Customers</t>
  </si>
  <si>
    <t>Customers Retained</t>
  </si>
  <si>
    <t>Monthly Revenue at Risk</t>
  </si>
  <si>
    <t>Total Monthly Revenue</t>
  </si>
  <si>
    <t>% Of Revenue at Risk</t>
  </si>
  <si>
    <t>Avg Monthly charge (churned)</t>
  </si>
  <si>
    <t>Avg Monthly charge (retained)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</si>
</sst>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E69A2A-505A-4774-9DE3-A38B5D2FBB92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259EC-BA36-4B79-AB33-2469F4A86402}" name="telco_customer_churn" displayName="telco_customer_churn" ref="A1:U7044" tableType="queryTable" totalsRowShown="0">
  <autoFilter ref="A1:U7044" xr:uid="{381259EC-BA36-4B79-AB33-2469F4A86402}"/>
  <tableColumns count="21">
    <tableColumn id="1" xr3:uid="{37897BC9-B190-4834-BC5B-B4A32EBC4B1C}" uniqueName="1" name="customerID" queryTableFieldId="1" dataDxfId="16"/>
    <tableColumn id="2" xr3:uid="{20424F8D-51B2-4630-BFCE-0494B7D16D21}" uniqueName="2" name="gender" queryTableFieldId="2" dataDxfId="15"/>
    <tableColumn id="3" xr3:uid="{876A8D40-A3E9-41E0-8ED2-3773EC2FA9EB}" uniqueName="3" name="SeniorCitizen" queryTableFieldId="3"/>
    <tableColumn id="4" xr3:uid="{E407CDF3-826E-417D-8F8B-CDC8500DB6C2}" uniqueName="4" name="Partner" queryTableFieldId="4" dataDxfId="14"/>
    <tableColumn id="5" xr3:uid="{680D08C2-0F74-47AA-B014-8CBC31822E2D}" uniqueName="5" name="Dependents" queryTableFieldId="5" dataDxfId="13"/>
    <tableColumn id="6" xr3:uid="{0ABCF0D0-E458-49EC-946B-897B79AD10B9}" uniqueName="6" name="tenure" queryTableFieldId="6"/>
    <tableColumn id="7" xr3:uid="{805DFEFA-88E8-477F-A56F-8B70D9DD552B}" uniqueName="7" name="PhoneService" queryTableFieldId="7" dataDxfId="12"/>
    <tableColumn id="8" xr3:uid="{92F3D72F-511D-40DB-B29E-B54583DCBCE9}" uniqueName="8" name="MultipleLines" queryTableFieldId="8" dataDxfId="11"/>
    <tableColumn id="9" xr3:uid="{7EC7862A-9685-4D4D-B2F7-6CCD9A7A434B}" uniqueName="9" name="InternetService" queryTableFieldId="9" dataDxfId="10"/>
    <tableColumn id="10" xr3:uid="{503C7386-FF38-4D39-8C2A-DADE06173B63}" uniqueName="10" name="OnlineSecurity" queryTableFieldId="10" dataDxfId="9"/>
    <tableColumn id="11" xr3:uid="{E6ED5824-378E-457D-880E-79844D81B413}" uniqueName="11" name="OnlineBackup" queryTableFieldId="11" dataDxfId="8"/>
    <tableColumn id="12" xr3:uid="{F07CA4C2-57F8-4331-9654-CBFDA000411D}" uniqueName="12" name="DeviceProtection" queryTableFieldId="12" dataDxfId="7"/>
    <tableColumn id="13" xr3:uid="{2789367F-0130-4A0E-BE13-5C943EE7AA66}" uniqueName="13" name="TechSupport" queryTableFieldId="13" dataDxfId="6"/>
    <tableColumn id="14" xr3:uid="{4D2068F4-C342-4303-9C90-C9BE3EEEB03C}" uniqueName="14" name="StreamingTV" queryTableFieldId="14" dataDxfId="5"/>
    <tableColumn id="15" xr3:uid="{7E2D04B6-7E56-4C7B-92C9-7297A82A3F07}" uniqueName="15" name="StreamingMovies" queryTableFieldId="15" dataDxfId="4"/>
    <tableColumn id="16" xr3:uid="{66FF2229-54A1-43E4-AA0B-D172C979B97D}" uniqueName="16" name="Contract" queryTableFieldId="16" dataDxfId="3"/>
    <tableColumn id="17" xr3:uid="{A46A89D2-6026-4D05-B8E0-914BE1DBEE9C}" uniqueName="17" name="PaperlessBilling" queryTableFieldId="17" dataDxfId="2"/>
    <tableColumn id="18" xr3:uid="{4E940010-9F36-435C-9AEB-BC7AE9FE79F5}" uniqueName="18" name="PaymentMethod" queryTableFieldId="18" dataDxfId="1"/>
    <tableColumn id="19" xr3:uid="{D9C41B48-3625-4CA5-8472-F5CD992A6A85}" uniqueName="19" name="MonthlyCharges" queryTableFieldId="19"/>
    <tableColumn id="20" xr3:uid="{4F9A5D4B-4B19-42B7-8215-AAAED326CC4A}" uniqueName="20" name="TotalCharges" queryTableFieldId="20"/>
    <tableColumn id="21" xr3:uid="{4892C883-59CB-4E95-8769-AED9A3D821C5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09EC-A35F-468B-82D5-3ABA0B922A5C}">
  <dimension ref="A1:U7044"/>
  <sheetViews>
    <sheetView topLeftCell="K1" workbookViewId="0"/>
  </sheetViews>
  <sheetFormatPr defaultRowHeight="14.5" x14ac:dyDescent="0.35"/>
  <cols>
    <col min="1" max="1" width="12.90625" bestFit="1" customWidth="1"/>
    <col min="2" max="2" width="8.81640625" bestFit="1" customWidth="1"/>
    <col min="3" max="3" width="14.36328125" bestFit="1" customWidth="1"/>
    <col min="4" max="4" width="9.1796875" bestFit="1" customWidth="1"/>
    <col min="5" max="5" width="13.26953125" bestFit="1" customWidth="1"/>
    <col min="6" max="6" width="8.54296875" bestFit="1" customWidth="1"/>
    <col min="7" max="7" width="14.54296875" bestFit="1" customWidth="1"/>
    <col min="8" max="8" width="14.7265625" bestFit="1" customWidth="1"/>
    <col min="9" max="9" width="16" bestFit="1" customWidth="1"/>
    <col min="10" max="11" width="16.08984375" bestFit="1" customWidth="1"/>
    <col min="12" max="12" width="17.54296875" bestFit="1" customWidth="1"/>
    <col min="13" max="14" width="16.08984375" bestFit="1" customWidth="1"/>
    <col min="15" max="15" width="17.54296875" bestFit="1" customWidth="1"/>
    <col min="16" max="16" width="14.08984375" bestFit="1" customWidth="1"/>
    <col min="17" max="17" width="16.6328125" bestFit="1" customWidth="1"/>
    <col min="18" max="18" width="21.7265625" bestFit="1" customWidth="1"/>
    <col min="19" max="19" width="16.7265625" bestFit="1" customWidth="1"/>
    <col min="20" max="20" width="14" bestFit="1" customWidth="1"/>
    <col min="21" max="21" width="8.269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 x14ac:dyDescent="0.35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 x14ac:dyDescent="0.35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 x14ac:dyDescent="0.35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 x14ac:dyDescent="0.35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 x14ac:dyDescent="0.35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 x14ac:dyDescent="0.35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 x14ac:dyDescent="0.35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 x14ac:dyDescent="0.35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 x14ac:dyDescent="0.35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 x14ac:dyDescent="0.35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 x14ac:dyDescent="0.35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 x14ac:dyDescent="0.35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 x14ac:dyDescent="0.35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 x14ac:dyDescent="0.35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 x14ac:dyDescent="0.35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 x14ac:dyDescent="0.35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 x14ac:dyDescent="0.35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 x14ac:dyDescent="0.35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 x14ac:dyDescent="0.35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 x14ac:dyDescent="0.35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 x14ac:dyDescent="0.35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 x14ac:dyDescent="0.35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 x14ac:dyDescent="0.35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 x14ac:dyDescent="0.35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 x14ac:dyDescent="0.35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 x14ac:dyDescent="0.35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 x14ac:dyDescent="0.35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 x14ac:dyDescent="0.35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 x14ac:dyDescent="0.35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 x14ac:dyDescent="0.35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 x14ac:dyDescent="0.35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 x14ac:dyDescent="0.35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 x14ac:dyDescent="0.35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 x14ac:dyDescent="0.35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 x14ac:dyDescent="0.35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 x14ac:dyDescent="0.35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 x14ac:dyDescent="0.35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 x14ac:dyDescent="0.35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 x14ac:dyDescent="0.35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 x14ac:dyDescent="0.35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 x14ac:dyDescent="0.35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 x14ac:dyDescent="0.35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 x14ac:dyDescent="0.35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 x14ac:dyDescent="0.35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 x14ac:dyDescent="0.35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 x14ac:dyDescent="0.35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 x14ac:dyDescent="0.35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 x14ac:dyDescent="0.35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 x14ac:dyDescent="0.35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 x14ac:dyDescent="0.35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 x14ac:dyDescent="0.35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 x14ac:dyDescent="0.35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 x14ac:dyDescent="0.35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 x14ac:dyDescent="0.35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 x14ac:dyDescent="0.35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 x14ac:dyDescent="0.35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 x14ac:dyDescent="0.35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 x14ac:dyDescent="0.35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 x14ac:dyDescent="0.35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 x14ac:dyDescent="0.35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 x14ac:dyDescent="0.35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 x14ac:dyDescent="0.35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 x14ac:dyDescent="0.35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 x14ac:dyDescent="0.35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 x14ac:dyDescent="0.35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 x14ac:dyDescent="0.35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 x14ac:dyDescent="0.35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 x14ac:dyDescent="0.35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 x14ac:dyDescent="0.35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 x14ac:dyDescent="0.35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 x14ac:dyDescent="0.35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 x14ac:dyDescent="0.35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 x14ac:dyDescent="0.35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 x14ac:dyDescent="0.35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 x14ac:dyDescent="0.35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 x14ac:dyDescent="0.35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 x14ac:dyDescent="0.35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 x14ac:dyDescent="0.35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 x14ac:dyDescent="0.35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 x14ac:dyDescent="0.35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 x14ac:dyDescent="0.35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 x14ac:dyDescent="0.35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 x14ac:dyDescent="0.35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 x14ac:dyDescent="0.35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 x14ac:dyDescent="0.35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 x14ac:dyDescent="0.35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 x14ac:dyDescent="0.35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 x14ac:dyDescent="0.35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 x14ac:dyDescent="0.35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 x14ac:dyDescent="0.35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 x14ac:dyDescent="0.35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 x14ac:dyDescent="0.35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 x14ac:dyDescent="0.35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 x14ac:dyDescent="0.35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 x14ac:dyDescent="0.35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 x14ac:dyDescent="0.35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 x14ac:dyDescent="0.35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 x14ac:dyDescent="0.35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 x14ac:dyDescent="0.35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 x14ac:dyDescent="0.35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 x14ac:dyDescent="0.35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 x14ac:dyDescent="0.35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 x14ac:dyDescent="0.35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 x14ac:dyDescent="0.35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 x14ac:dyDescent="0.35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 x14ac:dyDescent="0.35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 x14ac:dyDescent="0.35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 x14ac:dyDescent="0.35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 x14ac:dyDescent="0.35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 x14ac:dyDescent="0.35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 x14ac:dyDescent="0.35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 x14ac:dyDescent="0.35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 x14ac:dyDescent="0.35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 x14ac:dyDescent="0.35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 x14ac:dyDescent="0.35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 x14ac:dyDescent="0.35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 x14ac:dyDescent="0.35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 x14ac:dyDescent="0.35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 x14ac:dyDescent="0.35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 x14ac:dyDescent="0.35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 x14ac:dyDescent="0.35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 x14ac:dyDescent="0.35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 x14ac:dyDescent="0.35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 x14ac:dyDescent="0.35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 x14ac:dyDescent="0.35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 x14ac:dyDescent="0.35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 x14ac:dyDescent="0.35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 x14ac:dyDescent="0.35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 x14ac:dyDescent="0.35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 x14ac:dyDescent="0.35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 x14ac:dyDescent="0.35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 x14ac:dyDescent="0.35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 x14ac:dyDescent="0.35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 x14ac:dyDescent="0.35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 x14ac:dyDescent="0.35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 x14ac:dyDescent="0.35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 x14ac:dyDescent="0.35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 x14ac:dyDescent="0.35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 x14ac:dyDescent="0.35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 x14ac:dyDescent="0.35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 x14ac:dyDescent="0.35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 x14ac:dyDescent="0.35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 x14ac:dyDescent="0.35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 x14ac:dyDescent="0.35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 x14ac:dyDescent="0.35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 x14ac:dyDescent="0.35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 x14ac:dyDescent="0.35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 x14ac:dyDescent="0.35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 x14ac:dyDescent="0.35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 x14ac:dyDescent="0.35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 x14ac:dyDescent="0.35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 x14ac:dyDescent="0.35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 x14ac:dyDescent="0.35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 x14ac:dyDescent="0.35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 x14ac:dyDescent="0.35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 x14ac:dyDescent="0.35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 x14ac:dyDescent="0.35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 x14ac:dyDescent="0.35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 x14ac:dyDescent="0.35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 x14ac:dyDescent="0.35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 x14ac:dyDescent="0.35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 x14ac:dyDescent="0.35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 x14ac:dyDescent="0.35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 x14ac:dyDescent="0.35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 x14ac:dyDescent="0.35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 x14ac:dyDescent="0.35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 x14ac:dyDescent="0.35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 x14ac:dyDescent="0.35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 x14ac:dyDescent="0.35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 x14ac:dyDescent="0.35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 x14ac:dyDescent="0.35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 x14ac:dyDescent="0.35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 x14ac:dyDescent="0.35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 x14ac:dyDescent="0.35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 x14ac:dyDescent="0.35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 x14ac:dyDescent="0.35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 x14ac:dyDescent="0.35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 x14ac:dyDescent="0.35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 x14ac:dyDescent="0.35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 x14ac:dyDescent="0.35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 x14ac:dyDescent="0.35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 x14ac:dyDescent="0.35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 x14ac:dyDescent="0.35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 x14ac:dyDescent="0.35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 x14ac:dyDescent="0.35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 x14ac:dyDescent="0.35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 x14ac:dyDescent="0.35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 x14ac:dyDescent="0.35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 x14ac:dyDescent="0.35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 x14ac:dyDescent="0.35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 x14ac:dyDescent="0.35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 x14ac:dyDescent="0.35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 x14ac:dyDescent="0.35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 x14ac:dyDescent="0.35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 x14ac:dyDescent="0.35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 x14ac:dyDescent="0.35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 x14ac:dyDescent="0.35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 x14ac:dyDescent="0.35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 x14ac:dyDescent="0.35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 x14ac:dyDescent="0.35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 x14ac:dyDescent="0.35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 x14ac:dyDescent="0.35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 x14ac:dyDescent="0.35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 x14ac:dyDescent="0.35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 x14ac:dyDescent="0.35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 x14ac:dyDescent="0.35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 x14ac:dyDescent="0.35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 x14ac:dyDescent="0.35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 x14ac:dyDescent="0.35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 x14ac:dyDescent="0.35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 x14ac:dyDescent="0.35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 x14ac:dyDescent="0.35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 x14ac:dyDescent="0.35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 x14ac:dyDescent="0.35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 x14ac:dyDescent="0.35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 x14ac:dyDescent="0.35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 x14ac:dyDescent="0.35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 x14ac:dyDescent="0.35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 x14ac:dyDescent="0.35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 x14ac:dyDescent="0.35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 x14ac:dyDescent="0.35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 x14ac:dyDescent="0.35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 x14ac:dyDescent="0.35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 x14ac:dyDescent="0.35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 x14ac:dyDescent="0.35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 x14ac:dyDescent="0.35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 x14ac:dyDescent="0.35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 x14ac:dyDescent="0.35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 x14ac:dyDescent="0.35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 x14ac:dyDescent="0.35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 x14ac:dyDescent="0.35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 x14ac:dyDescent="0.35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 x14ac:dyDescent="0.35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 x14ac:dyDescent="0.35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 x14ac:dyDescent="0.35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 x14ac:dyDescent="0.35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 x14ac:dyDescent="0.35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 x14ac:dyDescent="0.35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 x14ac:dyDescent="0.35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 x14ac:dyDescent="0.35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 x14ac:dyDescent="0.35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 x14ac:dyDescent="0.35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 x14ac:dyDescent="0.35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 x14ac:dyDescent="0.35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 x14ac:dyDescent="0.35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 x14ac:dyDescent="0.35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 x14ac:dyDescent="0.35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 x14ac:dyDescent="0.35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 x14ac:dyDescent="0.35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 x14ac:dyDescent="0.35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 x14ac:dyDescent="0.35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 x14ac:dyDescent="0.35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 x14ac:dyDescent="0.35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 x14ac:dyDescent="0.35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 x14ac:dyDescent="0.35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 x14ac:dyDescent="0.35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 x14ac:dyDescent="0.35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 x14ac:dyDescent="0.35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 x14ac:dyDescent="0.35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 x14ac:dyDescent="0.35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 x14ac:dyDescent="0.35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 x14ac:dyDescent="0.35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 x14ac:dyDescent="0.35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 x14ac:dyDescent="0.35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 x14ac:dyDescent="0.35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 x14ac:dyDescent="0.35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 x14ac:dyDescent="0.35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 x14ac:dyDescent="0.35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 x14ac:dyDescent="0.35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 x14ac:dyDescent="0.35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 x14ac:dyDescent="0.35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 x14ac:dyDescent="0.35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 x14ac:dyDescent="0.35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 x14ac:dyDescent="0.35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 x14ac:dyDescent="0.35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 x14ac:dyDescent="0.35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 x14ac:dyDescent="0.35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 x14ac:dyDescent="0.35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 x14ac:dyDescent="0.35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 x14ac:dyDescent="0.35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 x14ac:dyDescent="0.35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 x14ac:dyDescent="0.35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 x14ac:dyDescent="0.35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 x14ac:dyDescent="0.35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 x14ac:dyDescent="0.35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 x14ac:dyDescent="0.35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 x14ac:dyDescent="0.35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 x14ac:dyDescent="0.35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 x14ac:dyDescent="0.35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 x14ac:dyDescent="0.35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 x14ac:dyDescent="0.35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 x14ac:dyDescent="0.35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 x14ac:dyDescent="0.35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 x14ac:dyDescent="0.35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 x14ac:dyDescent="0.35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 x14ac:dyDescent="0.35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 x14ac:dyDescent="0.35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 x14ac:dyDescent="0.35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 x14ac:dyDescent="0.35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 x14ac:dyDescent="0.35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 x14ac:dyDescent="0.35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 x14ac:dyDescent="0.35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 x14ac:dyDescent="0.35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 x14ac:dyDescent="0.35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 x14ac:dyDescent="0.35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 x14ac:dyDescent="0.35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 x14ac:dyDescent="0.35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 x14ac:dyDescent="0.35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 x14ac:dyDescent="0.35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 x14ac:dyDescent="0.35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 x14ac:dyDescent="0.35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 x14ac:dyDescent="0.35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 x14ac:dyDescent="0.35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 x14ac:dyDescent="0.35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 x14ac:dyDescent="0.35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 x14ac:dyDescent="0.35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 x14ac:dyDescent="0.35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 x14ac:dyDescent="0.35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 x14ac:dyDescent="0.35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 x14ac:dyDescent="0.35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 x14ac:dyDescent="0.35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 x14ac:dyDescent="0.35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 x14ac:dyDescent="0.35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 x14ac:dyDescent="0.35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 x14ac:dyDescent="0.35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 x14ac:dyDescent="0.35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 x14ac:dyDescent="0.35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 x14ac:dyDescent="0.35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 x14ac:dyDescent="0.35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 x14ac:dyDescent="0.35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 x14ac:dyDescent="0.35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 x14ac:dyDescent="0.35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 x14ac:dyDescent="0.35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 x14ac:dyDescent="0.35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 x14ac:dyDescent="0.35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 x14ac:dyDescent="0.35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 x14ac:dyDescent="0.35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 x14ac:dyDescent="0.35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 x14ac:dyDescent="0.35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 x14ac:dyDescent="0.35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 x14ac:dyDescent="0.35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 x14ac:dyDescent="0.35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 x14ac:dyDescent="0.35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 x14ac:dyDescent="0.35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 x14ac:dyDescent="0.35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 x14ac:dyDescent="0.35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 x14ac:dyDescent="0.35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 x14ac:dyDescent="0.35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 x14ac:dyDescent="0.35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 x14ac:dyDescent="0.35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 x14ac:dyDescent="0.35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 x14ac:dyDescent="0.35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 x14ac:dyDescent="0.35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 x14ac:dyDescent="0.35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 x14ac:dyDescent="0.35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 x14ac:dyDescent="0.35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 x14ac:dyDescent="0.35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 x14ac:dyDescent="0.35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 x14ac:dyDescent="0.35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 x14ac:dyDescent="0.35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 x14ac:dyDescent="0.35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 x14ac:dyDescent="0.35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 x14ac:dyDescent="0.35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 x14ac:dyDescent="0.35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 x14ac:dyDescent="0.35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 x14ac:dyDescent="0.35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 x14ac:dyDescent="0.35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 x14ac:dyDescent="0.35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 x14ac:dyDescent="0.35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 x14ac:dyDescent="0.35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 x14ac:dyDescent="0.35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 x14ac:dyDescent="0.35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 x14ac:dyDescent="0.35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 x14ac:dyDescent="0.35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 x14ac:dyDescent="0.35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 x14ac:dyDescent="0.35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 x14ac:dyDescent="0.35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 x14ac:dyDescent="0.35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 x14ac:dyDescent="0.35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 x14ac:dyDescent="0.35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 x14ac:dyDescent="0.35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 x14ac:dyDescent="0.35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 x14ac:dyDescent="0.35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 x14ac:dyDescent="0.35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 x14ac:dyDescent="0.35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 x14ac:dyDescent="0.35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 x14ac:dyDescent="0.35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 x14ac:dyDescent="0.35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 x14ac:dyDescent="0.35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 x14ac:dyDescent="0.35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 x14ac:dyDescent="0.35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 x14ac:dyDescent="0.35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 x14ac:dyDescent="0.35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 x14ac:dyDescent="0.35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 x14ac:dyDescent="0.35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 x14ac:dyDescent="0.35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 x14ac:dyDescent="0.35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 x14ac:dyDescent="0.35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 x14ac:dyDescent="0.35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 x14ac:dyDescent="0.35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 x14ac:dyDescent="0.35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 x14ac:dyDescent="0.35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 x14ac:dyDescent="0.35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 x14ac:dyDescent="0.35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 x14ac:dyDescent="0.35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 x14ac:dyDescent="0.35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 x14ac:dyDescent="0.35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 x14ac:dyDescent="0.35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 x14ac:dyDescent="0.35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 x14ac:dyDescent="0.35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 x14ac:dyDescent="0.35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 x14ac:dyDescent="0.35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 x14ac:dyDescent="0.35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 x14ac:dyDescent="0.35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 x14ac:dyDescent="0.35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 x14ac:dyDescent="0.35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 x14ac:dyDescent="0.35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 x14ac:dyDescent="0.35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 x14ac:dyDescent="0.35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 x14ac:dyDescent="0.35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 x14ac:dyDescent="0.35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 x14ac:dyDescent="0.35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 x14ac:dyDescent="0.35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 x14ac:dyDescent="0.35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 x14ac:dyDescent="0.35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 x14ac:dyDescent="0.35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 x14ac:dyDescent="0.35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 x14ac:dyDescent="0.35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 x14ac:dyDescent="0.35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 x14ac:dyDescent="0.35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 x14ac:dyDescent="0.35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 x14ac:dyDescent="0.35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 x14ac:dyDescent="0.35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 x14ac:dyDescent="0.35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 x14ac:dyDescent="0.35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 x14ac:dyDescent="0.35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 x14ac:dyDescent="0.35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 x14ac:dyDescent="0.35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 x14ac:dyDescent="0.35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 x14ac:dyDescent="0.35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 x14ac:dyDescent="0.35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 x14ac:dyDescent="0.35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 x14ac:dyDescent="0.35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 x14ac:dyDescent="0.35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 x14ac:dyDescent="0.35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 x14ac:dyDescent="0.35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 x14ac:dyDescent="0.35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 x14ac:dyDescent="0.35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 x14ac:dyDescent="0.35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 x14ac:dyDescent="0.35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 x14ac:dyDescent="0.35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 x14ac:dyDescent="0.35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 x14ac:dyDescent="0.35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 x14ac:dyDescent="0.35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 x14ac:dyDescent="0.35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 x14ac:dyDescent="0.35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 x14ac:dyDescent="0.35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 x14ac:dyDescent="0.35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 x14ac:dyDescent="0.35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 x14ac:dyDescent="0.35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 x14ac:dyDescent="0.35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 x14ac:dyDescent="0.35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 x14ac:dyDescent="0.35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 x14ac:dyDescent="0.35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 x14ac:dyDescent="0.35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 x14ac:dyDescent="0.35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 x14ac:dyDescent="0.35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 x14ac:dyDescent="0.35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 x14ac:dyDescent="0.35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 x14ac:dyDescent="0.35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 x14ac:dyDescent="0.35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 x14ac:dyDescent="0.35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 x14ac:dyDescent="0.35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 x14ac:dyDescent="0.35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 x14ac:dyDescent="0.35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 x14ac:dyDescent="0.35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 x14ac:dyDescent="0.35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 x14ac:dyDescent="0.35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 x14ac:dyDescent="0.35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 x14ac:dyDescent="0.35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 x14ac:dyDescent="0.35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 x14ac:dyDescent="0.35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 x14ac:dyDescent="0.35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 x14ac:dyDescent="0.35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 x14ac:dyDescent="0.35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 x14ac:dyDescent="0.35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 x14ac:dyDescent="0.35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 x14ac:dyDescent="0.35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U490" s="1" t="s">
        <v>24</v>
      </c>
    </row>
    <row r="491" spans="1:21" x14ac:dyDescent="0.35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 x14ac:dyDescent="0.35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 x14ac:dyDescent="0.35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 x14ac:dyDescent="0.35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 x14ac:dyDescent="0.35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 x14ac:dyDescent="0.35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 x14ac:dyDescent="0.35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 x14ac:dyDescent="0.35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 x14ac:dyDescent="0.35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 x14ac:dyDescent="0.35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 x14ac:dyDescent="0.35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 x14ac:dyDescent="0.35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 x14ac:dyDescent="0.35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 x14ac:dyDescent="0.35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 x14ac:dyDescent="0.35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 x14ac:dyDescent="0.35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 x14ac:dyDescent="0.35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 x14ac:dyDescent="0.35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 x14ac:dyDescent="0.35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 x14ac:dyDescent="0.35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 x14ac:dyDescent="0.35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 x14ac:dyDescent="0.35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 x14ac:dyDescent="0.35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 x14ac:dyDescent="0.35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 x14ac:dyDescent="0.35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 x14ac:dyDescent="0.35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 x14ac:dyDescent="0.35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 x14ac:dyDescent="0.35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 x14ac:dyDescent="0.35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 x14ac:dyDescent="0.35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 x14ac:dyDescent="0.35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 x14ac:dyDescent="0.35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 x14ac:dyDescent="0.35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 x14ac:dyDescent="0.35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 x14ac:dyDescent="0.35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 x14ac:dyDescent="0.35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 x14ac:dyDescent="0.35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 x14ac:dyDescent="0.35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 x14ac:dyDescent="0.35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 x14ac:dyDescent="0.35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 x14ac:dyDescent="0.35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 x14ac:dyDescent="0.35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 x14ac:dyDescent="0.35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 x14ac:dyDescent="0.35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 x14ac:dyDescent="0.35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 x14ac:dyDescent="0.35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 x14ac:dyDescent="0.35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 x14ac:dyDescent="0.35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 x14ac:dyDescent="0.35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 x14ac:dyDescent="0.35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 x14ac:dyDescent="0.35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 x14ac:dyDescent="0.35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 x14ac:dyDescent="0.35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 x14ac:dyDescent="0.35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 x14ac:dyDescent="0.35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 x14ac:dyDescent="0.35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 x14ac:dyDescent="0.35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 x14ac:dyDescent="0.35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 x14ac:dyDescent="0.35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 x14ac:dyDescent="0.35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 x14ac:dyDescent="0.35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 x14ac:dyDescent="0.35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 x14ac:dyDescent="0.35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 x14ac:dyDescent="0.35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 x14ac:dyDescent="0.35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 x14ac:dyDescent="0.35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 x14ac:dyDescent="0.35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 x14ac:dyDescent="0.35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 x14ac:dyDescent="0.35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 x14ac:dyDescent="0.35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 x14ac:dyDescent="0.35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 x14ac:dyDescent="0.35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 x14ac:dyDescent="0.35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 x14ac:dyDescent="0.35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 x14ac:dyDescent="0.35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 x14ac:dyDescent="0.35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 x14ac:dyDescent="0.35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 x14ac:dyDescent="0.35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 x14ac:dyDescent="0.35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 x14ac:dyDescent="0.35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 x14ac:dyDescent="0.35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 x14ac:dyDescent="0.35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 x14ac:dyDescent="0.35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 x14ac:dyDescent="0.35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 x14ac:dyDescent="0.35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 x14ac:dyDescent="0.35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 x14ac:dyDescent="0.35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 x14ac:dyDescent="0.35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 x14ac:dyDescent="0.35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 x14ac:dyDescent="0.35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 x14ac:dyDescent="0.35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 x14ac:dyDescent="0.35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 x14ac:dyDescent="0.35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 x14ac:dyDescent="0.35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 x14ac:dyDescent="0.35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 x14ac:dyDescent="0.35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 x14ac:dyDescent="0.35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 x14ac:dyDescent="0.35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 x14ac:dyDescent="0.35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 x14ac:dyDescent="0.35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 x14ac:dyDescent="0.35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 x14ac:dyDescent="0.35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 x14ac:dyDescent="0.35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 x14ac:dyDescent="0.35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 x14ac:dyDescent="0.35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 x14ac:dyDescent="0.35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 x14ac:dyDescent="0.35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 x14ac:dyDescent="0.35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 x14ac:dyDescent="0.35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 x14ac:dyDescent="0.35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 x14ac:dyDescent="0.35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 x14ac:dyDescent="0.35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 x14ac:dyDescent="0.35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 x14ac:dyDescent="0.35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 x14ac:dyDescent="0.35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 x14ac:dyDescent="0.35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 x14ac:dyDescent="0.35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 x14ac:dyDescent="0.35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 x14ac:dyDescent="0.35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 x14ac:dyDescent="0.35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 x14ac:dyDescent="0.35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 x14ac:dyDescent="0.35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 x14ac:dyDescent="0.35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 x14ac:dyDescent="0.35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 x14ac:dyDescent="0.35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 x14ac:dyDescent="0.35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 x14ac:dyDescent="0.35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 x14ac:dyDescent="0.35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 x14ac:dyDescent="0.35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 x14ac:dyDescent="0.35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 x14ac:dyDescent="0.35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 x14ac:dyDescent="0.35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 x14ac:dyDescent="0.35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 x14ac:dyDescent="0.35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 x14ac:dyDescent="0.35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 x14ac:dyDescent="0.35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 x14ac:dyDescent="0.35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 x14ac:dyDescent="0.35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 x14ac:dyDescent="0.35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 x14ac:dyDescent="0.35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 x14ac:dyDescent="0.35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 x14ac:dyDescent="0.35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 x14ac:dyDescent="0.35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 x14ac:dyDescent="0.35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 x14ac:dyDescent="0.35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 x14ac:dyDescent="0.35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 x14ac:dyDescent="0.35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 x14ac:dyDescent="0.35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 x14ac:dyDescent="0.35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 x14ac:dyDescent="0.35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 x14ac:dyDescent="0.35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 x14ac:dyDescent="0.35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 x14ac:dyDescent="0.35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 x14ac:dyDescent="0.35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 x14ac:dyDescent="0.35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 x14ac:dyDescent="0.35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 x14ac:dyDescent="0.35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 x14ac:dyDescent="0.35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 x14ac:dyDescent="0.35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 x14ac:dyDescent="0.35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 x14ac:dyDescent="0.35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 x14ac:dyDescent="0.35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 x14ac:dyDescent="0.35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 x14ac:dyDescent="0.35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 x14ac:dyDescent="0.35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 x14ac:dyDescent="0.35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 x14ac:dyDescent="0.35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 x14ac:dyDescent="0.35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 x14ac:dyDescent="0.35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 x14ac:dyDescent="0.35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 x14ac:dyDescent="0.35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 x14ac:dyDescent="0.35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 x14ac:dyDescent="0.35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 x14ac:dyDescent="0.35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 x14ac:dyDescent="0.35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 x14ac:dyDescent="0.35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 x14ac:dyDescent="0.35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 x14ac:dyDescent="0.35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 x14ac:dyDescent="0.35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 x14ac:dyDescent="0.35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 x14ac:dyDescent="0.35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 x14ac:dyDescent="0.35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 x14ac:dyDescent="0.35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 x14ac:dyDescent="0.35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 x14ac:dyDescent="0.35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 x14ac:dyDescent="0.35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 x14ac:dyDescent="0.35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 x14ac:dyDescent="0.35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 x14ac:dyDescent="0.35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 x14ac:dyDescent="0.35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 x14ac:dyDescent="0.35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 x14ac:dyDescent="0.35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 x14ac:dyDescent="0.35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 x14ac:dyDescent="0.35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 x14ac:dyDescent="0.35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 x14ac:dyDescent="0.35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 x14ac:dyDescent="0.35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 x14ac:dyDescent="0.35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 x14ac:dyDescent="0.35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 x14ac:dyDescent="0.35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 x14ac:dyDescent="0.35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 x14ac:dyDescent="0.35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 x14ac:dyDescent="0.35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 x14ac:dyDescent="0.35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 x14ac:dyDescent="0.35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 x14ac:dyDescent="0.35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 x14ac:dyDescent="0.35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 x14ac:dyDescent="0.35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 x14ac:dyDescent="0.35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 x14ac:dyDescent="0.35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 x14ac:dyDescent="0.35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 x14ac:dyDescent="0.35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 x14ac:dyDescent="0.35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 x14ac:dyDescent="0.35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 x14ac:dyDescent="0.35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 x14ac:dyDescent="0.35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 x14ac:dyDescent="0.35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 x14ac:dyDescent="0.35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 x14ac:dyDescent="0.35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 x14ac:dyDescent="0.35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 x14ac:dyDescent="0.35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 x14ac:dyDescent="0.35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 x14ac:dyDescent="0.35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 x14ac:dyDescent="0.35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 x14ac:dyDescent="0.35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 x14ac:dyDescent="0.35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 x14ac:dyDescent="0.35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 x14ac:dyDescent="0.35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 x14ac:dyDescent="0.35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 x14ac:dyDescent="0.35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 x14ac:dyDescent="0.35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 x14ac:dyDescent="0.35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 x14ac:dyDescent="0.35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 x14ac:dyDescent="0.35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 x14ac:dyDescent="0.35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 x14ac:dyDescent="0.35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 x14ac:dyDescent="0.35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 x14ac:dyDescent="0.35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 x14ac:dyDescent="0.35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 x14ac:dyDescent="0.35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 x14ac:dyDescent="0.35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 x14ac:dyDescent="0.35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 x14ac:dyDescent="0.35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 x14ac:dyDescent="0.35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 x14ac:dyDescent="0.35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 x14ac:dyDescent="0.35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 x14ac:dyDescent="0.35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 x14ac:dyDescent="0.35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 x14ac:dyDescent="0.35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 x14ac:dyDescent="0.35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 x14ac:dyDescent="0.35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 x14ac:dyDescent="0.35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 x14ac:dyDescent="0.35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 x14ac:dyDescent="0.35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 x14ac:dyDescent="0.35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 x14ac:dyDescent="0.35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 x14ac:dyDescent="0.35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 x14ac:dyDescent="0.35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 x14ac:dyDescent="0.35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 x14ac:dyDescent="0.35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 x14ac:dyDescent="0.35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 x14ac:dyDescent="0.35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 x14ac:dyDescent="0.35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 x14ac:dyDescent="0.35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 x14ac:dyDescent="0.35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U755" s="1" t="s">
        <v>24</v>
      </c>
    </row>
    <row r="756" spans="1:21" x14ac:dyDescent="0.35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 x14ac:dyDescent="0.35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 x14ac:dyDescent="0.35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 x14ac:dyDescent="0.35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 x14ac:dyDescent="0.35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 x14ac:dyDescent="0.35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 x14ac:dyDescent="0.35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 x14ac:dyDescent="0.35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 x14ac:dyDescent="0.35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 x14ac:dyDescent="0.35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 x14ac:dyDescent="0.35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 x14ac:dyDescent="0.35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 x14ac:dyDescent="0.35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 x14ac:dyDescent="0.35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 x14ac:dyDescent="0.35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 x14ac:dyDescent="0.35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 x14ac:dyDescent="0.35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 x14ac:dyDescent="0.35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 x14ac:dyDescent="0.35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 x14ac:dyDescent="0.35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 x14ac:dyDescent="0.35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 x14ac:dyDescent="0.35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 x14ac:dyDescent="0.35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 x14ac:dyDescent="0.35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 x14ac:dyDescent="0.35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 x14ac:dyDescent="0.35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 x14ac:dyDescent="0.35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 x14ac:dyDescent="0.35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 x14ac:dyDescent="0.35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 x14ac:dyDescent="0.35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 x14ac:dyDescent="0.35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 x14ac:dyDescent="0.35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 x14ac:dyDescent="0.35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 x14ac:dyDescent="0.35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 x14ac:dyDescent="0.35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 x14ac:dyDescent="0.35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 x14ac:dyDescent="0.35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 x14ac:dyDescent="0.35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 x14ac:dyDescent="0.35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 x14ac:dyDescent="0.35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 x14ac:dyDescent="0.35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 x14ac:dyDescent="0.35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 x14ac:dyDescent="0.35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 x14ac:dyDescent="0.35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 x14ac:dyDescent="0.35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 x14ac:dyDescent="0.35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 x14ac:dyDescent="0.35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 x14ac:dyDescent="0.35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 x14ac:dyDescent="0.35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 x14ac:dyDescent="0.35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 x14ac:dyDescent="0.35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 x14ac:dyDescent="0.35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 x14ac:dyDescent="0.35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 x14ac:dyDescent="0.35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 x14ac:dyDescent="0.35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 x14ac:dyDescent="0.35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 x14ac:dyDescent="0.35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 x14ac:dyDescent="0.35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 x14ac:dyDescent="0.35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 x14ac:dyDescent="0.35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 x14ac:dyDescent="0.35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 x14ac:dyDescent="0.35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 x14ac:dyDescent="0.35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 x14ac:dyDescent="0.35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 x14ac:dyDescent="0.35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 x14ac:dyDescent="0.35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 x14ac:dyDescent="0.35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 x14ac:dyDescent="0.35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 x14ac:dyDescent="0.35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 x14ac:dyDescent="0.35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 x14ac:dyDescent="0.35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 x14ac:dyDescent="0.35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 x14ac:dyDescent="0.35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 x14ac:dyDescent="0.35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 x14ac:dyDescent="0.35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 x14ac:dyDescent="0.35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 x14ac:dyDescent="0.35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 x14ac:dyDescent="0.35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 x14ac:dyDescent="0.35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 x14ac:dyDescent="0.35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 x14ac:dyDescent="0.35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 x14ac:dyDescent="0.35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 x14ac:dyDescent="0.35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 x14ac:dyDescent="0.35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 x14ac:dyDescent="0.35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 x14ac:dyDescent="0.35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 x14ac:dyDescent="0.35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 x14ac:dyDescent="0.35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 x14ac:dyDescent="0.35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 x14ac:dyDescent="0.35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 x14ac:dyDescent="0.35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 x14ac:dyDescent="0.35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 x14ac:dyDescent="0.35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 x14ac:dyDescent="0.35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 x14ac:dyDescent="0.35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 x14ac:dyDescent="0.35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 x14ac:dyDescent="0.35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 x14ac:dyDescent="0.35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 x14ac:dyDescent="0.35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 x14ac:dyDescent="0.35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 x14ac:dyDescent="0.35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 x14ac:dyDescent="0.35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 x14ac:dyDescent="0.35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 x14ac:dyDescent="0.35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 x14ac:dyDescent="0.35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 x14ac:dyDescent="0.35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 x14ac:dyDescent="0.35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 x14ac:dyDescent="0.35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 x14ac:dyDescent="0.35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 x14ac:dyDescent="0.35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 x14ac:dyDescent="0.35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 x14ac:dyDescent="0.35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 x14ac:dyDescent="0.35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 x14ac:dyDescent="0.35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 x14ac:dyDescent="0.35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 x14ac:dyDescent="0.35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 x14ac:dyDescent="0.35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 x14ac:dyDescent="0.35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 x14ac:dyDescent="0.35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 x14ac:dyDescent="0.35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 x14ac:dyDescent="0.35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 x14ac:dyDescent="0.35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 x14ac:dyDescent="0.35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 x14ac:dyDescent="0.35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 x14ac:dyDescent="0.35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 x14ac:dyDescent="0.35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 x14ac:dyDescent="0.35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 x14ac:dyDescent="0.35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 x14ac:dyDescent="0.35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 x14ac:dyDescent="0.35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 x14ac:dyDescent="0.35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 x14ac:dyDescent="0.35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 x14ac:dyDescent="0.35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 x14ac:dyDescent="0.35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 x14ac:dyDescent="0.35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 x14ac:dyDescent="0.35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 x14ac:dyDescent="0.35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 x14ac:dyDescent="0.35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 x14ac:dyDescent="0.35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 x14ac:dyDescent="0.35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 x14ac:dyDescent="0.35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 x14ac:dyDescent="0.35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 x14ac:dyDescent="0.35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 x14ac:dyDescent="0.35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 x14ac:dyDescent="0.35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 x14ac:dyDescent="0.35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 x14ac:dyDescent="0.35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 x14ac:dyDescent="0.35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 x14ac:dyDescent="0.35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 x14ac:dyDescent="0.35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 x14ac:dyDescent="0.35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 x14ac:dyDescent="0.35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 x14ac:dyDescent="0.35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 x14ac:dyDescent="0.35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 x14ac:dyDescent="0.35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 x14ac:dyDescent="0.35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 x14ac:dyDescent="0.35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 x14ac:dyDescent="0.35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 x14ac:dyDescent="0.35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 x14ac:dyDescent="0.35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 x14ac:dyDescent="0.35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 x14ac:dyDescent="0.35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 x14ac:dyDescent="0.35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 x14ac:dyDescent="0.35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 x14ac:dyDescent="0.35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 x14ac:dyDescent="0.35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 x14ac:dyDescent="0.35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 x14ac:dyDescent="0.35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 x14ac:dyDescent="0.35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 x14ac:dyDescent="0.35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 x14ac:dyDescent="0.35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 x14ac:dyDescent="0.35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 x14ac:dyDescent="0.35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 x14ac:dyDescent="0.35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 x14ac:dyDescent="0.35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 x14ac:dyDescent="0.35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 x14ac:dyDescent="0.35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 x14ac:dyDescent="0.35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 x14ac:dyDescent="0.35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 x14ac:dyDescent="0.35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 x14ac:dyDescent="0.35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 x14ac:dyDescent="0.35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 x14ac:dyDescent="0.35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U938" s="1" t="s">
        <v>24</v>
      </c>
    </row>
    <row r="939" spans="1:21" x14ac:dyDescent="0.35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 x14ac:dyDescent="0.35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 x14ac:dyDescent="0.35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 x14ac:dyDescent="0.35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 x14ac:dyDescent="0.35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 x14ac:dyDescent="0.35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 x14ac:dyDescent="0.35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 x14ac:dyDescent="0.35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 x14ac:dyDescent="0.35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 x14ac:dyDescent="0.35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 x14ac:dyDescent="0.35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 x14ac:dyDescent="0.35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 x14ac:dyDescent="0.35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 x14ac:dyDescent="0.35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 x14ac:dyDescent="0.35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 x14ac:dyDescent="0.35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 x14ac:dyDescent="0.35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 x14ac:dyDescent="0.35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 x14ac:dyDescent="0.35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 x14ac:dyDescent="0.35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 x14ac:dyDescent="0.35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 x14ac:dyDescent="0.35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 x14ac:dyDescent="0.35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 x14ac:dyDescent="0.35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 x14ac:dyDescent="0.35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 x14ac:dyDescent="0.35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 x14ac:dyDescent="0.35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 x14ac:dyDescent="0.35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 x14ac:dyDescent="0.35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 x14ac:dyDescent="0.35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 x14ac:dyDescent="0.35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 x14ac:dyDescent="0.35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 x14ac:dyDescent="0.35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 x14ac:dyDescent="0.35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 x14ac:dyDescent="0.35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 x14ac:dyDescent="0.35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 x14ac:dyDescent="0.35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 x14ac:dyDescent="0.35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 x14ac:dyDescent="0.35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 x14ac:dyDescent="0.35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 x14ac:dyDescent="0.35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 x14ac:dyDescent="0.35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 x14ac:dyDescent="0.35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 x14ac:dyDescent="0.35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 x14ac:dyDescent="0.35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 x14ac:dyDescent="0.35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 x14ac:dyDescent="0.35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 x14ac:dyDescent="0.35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 x14ac:dyDescent="0.35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 x14ac:dyDescent="0.35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 x14ac:dyDescent="0.35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 x14ac:dyDescent="0.35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 x14ac:dyDescent="0.35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 x14ac:dyDescent="0.35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 x14ac:dyDescent="0.35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 x14ac:dyDescent="0.35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 x14ac:dyDescent="0.35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 x14ac:dyDescent="0.35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 x14ac:dyDescent="0.35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 x14ac:dyDescent="0.35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 x14ac:dyDescent="0.35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 x14ac:dyDescent="0.35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 x14ac:dyDescent="0.35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 x14ac:dyDescent="0.35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 x14ac:dyDescent="0.35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 x14ac:dyDescent="0.35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 x14ac:dyDescent="0.35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 x14ac:dyDescent="0.35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 x14ac:dyDescent="0.35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 x14ac:dyDescent="0.35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 x14ac:dyDescent="0.35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 x14ac:dyDescent="0.35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 x14ac:dyDescent="0.35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 x14ac:dyDescent="0.35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 x14ac:dyDescent="0.35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 x14ac:dyDescent="0.35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 x14ac:dyDescent="0.35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 x14ac:dyDescent="0.35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 x14ac:dyDescent="0.35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 x14ac:dyDescent="0.35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 x14ac:dyDescent="0.35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 x14ac:dyDescent="0.35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 x14ac:dyDescent="0.35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 x14ac:dyDescent="0.35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 x14ac:dyDescent="0.35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 x14ac:dyDescent="0.35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 x14ac:dyDescent="0.35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 x14ac:dyDescent="0.35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 x14ac:dyDescent="0.35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 x14ac:dyDescent="0.35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 x14ac:dyDescent="0.35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 x14ac:dyDescent="0.35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 x14ac:dyDescent="0.35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 x14ac:dyDescent="0.35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 x14ac:dyDescent="0.35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 x14ac:dyDescent="0.35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 x14ac:dyDescent="0.35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 x14ac:dyDescent="0.35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 x14ac:dyDescent="0.35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 x14ac:dyDescent="0.35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 x14ac:dyDescent="0.35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 x14ac:dyDescent="0.35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 x14ac:dyDescent="0.35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 x14ac:dyDescent="0.35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 x14ac:dyDescent="0.35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 x14ac:dyDescent="0.35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 x14ac:dyDescent="0.35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 x14ac:dyDescent="0.35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 x14ac:dyDescent="0.35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 x14ac:dyDescent="0.35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 x14ac:dyDescent="0.35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 x14ac:dyDescent="0.35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 x14ac:dyDescent="0.35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 x14ac:dyDescent="0.35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 x14ac:dyDescent="0.35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 x14ac:dyDescent="0.35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 x14ac:dyDescent="0.35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 x14ac:dyDescent="0.35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 x14ac:dyDescent="0.35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 x14ac:dyDescent="0.35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 x14ac:dyDescent="0.35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 x14ac:dyDescent="0.35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 x14ac:dyDescent="0.35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 x14ac:dyDescent="0.35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 x14ac:dyDescent="0.35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 x14ac:dyDescent="0.35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 x14ac:dyDescent="0.35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 x14ac:dyDescent="0.35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 x14ac:dyDescent="0.35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 x14ac:dyDescent="0.35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 x14ac:dyDescent="0.35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 x14ac:dyDescent="0.35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 x14ac:dyDescent="0.35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 x14ac:dyDescent="0.35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 x14ac:dyDescent="0.35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 x14ac:dyDescent="0.35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 x14ac:dyDescent="0.35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 x14ac:dyDescent="0.35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 x14ac:dyDescent="0.35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 x14ac:dyDescent="0.35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 x14ac:dyDescent="0.35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 x14ac:dyDescent="0.35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 x14ac:dyDescent="0.35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 x14ac:dyDescent="0.35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 x14ac:dyDescent="0.35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 x14ac:dyDescent="0.35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U1084" s="1" t="s">
        <v>24</v>
      </c>
    </row>
    <row r="1085" spans="1:21" x14ac:dyDescent="0.35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 x14ac:dyDescent="0.35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 x14ac:dyDescent="0.35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 x14ac:dyDescent="0.35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 x14ac:dyDescent="0.35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 x14ac:dyDescent="0.35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 x14ac:dyDescent="0.35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 x14ac:dyDescent="0.35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 x14ac:dyDescent="0.35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 x14ac:dyDescent="0.35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 x14ac:dyDescent="0.35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 x14ac:dyDescent="0.35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 x14ac:dyDescent="0.35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 x14ac:dyDescent="0.35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 x14ac:dyDescent="0.35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 x14ac:dyDescent="0.35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 x14ac:dyDescent="0.35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 x14ac:dyDescent="0.35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 x14ac:dyDescent="0.35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 x14ac:dyDescent="0.35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 x14ac:dyDescent="0.35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 x14ac:dyDescent="0.35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 x14ac:dyDescent="0.35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 x14ac:dyDescent="0.35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 x14ac:dyDescent="0.35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 x14ac:dyDescent="0.35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 x14ac:dyDescent="0.35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 x14ac:dyDescent="0.35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 x14ac:dyDescent="0.35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 x14ac:dyDescent="0.35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 x14ac:dyDescent="0.35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 x14ac:dyDescent="0.35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 x14ac:dyDescent="0.35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 x14ac:dyDescent="0.35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 x14ac:dyDescent="0.35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 x14ac:dyDescent="0.35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 x14ac:dyDescent="0.35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 x14ac:dyDescent="0.35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 x14ac:dyDescent="0.35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 x14ac:dyDescent="0.35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 x14ac:dyDescent="0.35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 x14ac:dyDescent="0.35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 x14ac:dyDescent="0.35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 x14ac:dyDescent="0.35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 x14ac:dyDescent="0.35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 x14ac:dyDescent="0.35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 x14ac:dyDescent="0.35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 x14ac:dyDescent="0.35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 x14ac:dyDescent="0.35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 x14ac:dyDescent="0.35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 x14ac:dyDescent="0.35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 x14ac:dyDescent="0.35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 x14ac:dyDescent="0.35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 x14ac:dyDescent="0.35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 x14ac:dyDescent="0.35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 x14ac:dyDescent="0.35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 x14ac:dyDescent="0.35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 x14ac:dyDescent="0.35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 x14ac:dyDescent="0.35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 x14ac:dyDescent="0.35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 x14ac:dyDescent="0.35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 x14ac:dyDescent="0.35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 x14ac:dyDescent="0.35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 x14ac:dyDescent="0.35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 x14ac:dyDescent="0.35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 x14ac:dyDescent="0.35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 x14ac:dyDescent="0.35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 x14ac:dyDescent="0.35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 x14ac:dyDescent="0.35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 x14ac:dyDescent="0.35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 x14ac:dyDescent="0.35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 x14ac:dyDescent="0.35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 x14ac:dyDescent="0.35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 x14ac:dyDescent="0.35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 x14ac:dyDescent="0.35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 x14ac:dyDescent="0.35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 x14ac:dyDescent="0.35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 x14ac:dyDescent="0.35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 x14ac:dyDescent="0.35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 x14ac:dyDescent="0.35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 x14ac:dyDescent="0.35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 x14ac:dyDescent="0.35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 x14ac:dyDescent="0.35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 x14ac:dyDescent="0.35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 x14ac:dyDescent="0.35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 x14ac:dyDescent="0.35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 x14ac:dyDescent="0.35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 x14ac:dyDescent="0.35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 x14ac:dyDescent="0.35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 x14ac:dyDescent="0.35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 x14ac:dyDescent="0.35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 x14ac:dyDescent="0.35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 x14ac:dyDescent="0.35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 x14ac:dyDescent="0.35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 x14ac:dyDescent="0.35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 x14ac:dyDescent="0.35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 x14ac:dyDescent="0.35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 x14ac:dyDescent="0.35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 x14ac:dyDescent="0.35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 x14ac:dyDescent="0.35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 x14ac:dyDescent="0.35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 x14ac:dyDescent="0.35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 x14ac:dyDescent="0.35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 x14ac:dyDescent="0.35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 x14ac:dyDescent="0.35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 x14ac:dyDescent="0.35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 x14ac:dyDescent="0.35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 x14ac:dyDescent="0.35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 x14ac:dyDescent="0.35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 x14ac:dyDescent="0.35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 x14ac:dyDescent="0.35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 x14ac:dyDescent="0.35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 x14ac:dyDescent="0.35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 x14ac:dyDescent="0.35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 x14ac:dyDescent="0.35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 x14ac:dyDescent="0.35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 x14ac:dyDescent="0.35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 x14ac:dyDescent="0.35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 x14ac:dyDescent="0.35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 x14ac:dyDescent="0.35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 x14ac:dyDescent="0.35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 x14ac:dyDescent="0.35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 x14ac:dyDescent="0.35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 x14ac:dyDescent="0.35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 x14ac:dyDescent="0.35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 x14ac:dyDescent="0.35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 x14ac:dyDescent="0.35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 x14ac:dyDescent="0.35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 x14ac:dyDescent="0.35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 x14ac:dyDescent="0.35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 x14ac:dyDescent="0.35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 x14ac:dyDescent="0.35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 x14ac:dyDescent="0.35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 x14ac:dyDescent="0.35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 x14ac:dyDescent="0.35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 x14ac:dyDescent="0.35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 x14ac:dyDescent="0.35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 x14ac:dyDescent="0.35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 x14ac:dyDescent="0.35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 x14ac:dyDescent="0.35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 x14ac:dyDescent="0.35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 x14ac:dyDescent="0.35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 x14ac:dyDescent="0.35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 x14ac:dyDescent="0.35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 x14ac:dyDescent="0.35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 x14ac:dyDescent="0.35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 x14ac:dyDescent="0.35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 x14ac:dyDescent="0.35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 x14ac:dyDescent="0.35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 x14ac:dyDescent="0.35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 x14ac:dyDescent="0.35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 x14ac:dyDescent="0.35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 x14ac:dyDescent="0.35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 x14ac:dyDescent="0.35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 x14ac:dyDescent="0.35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 x14ac:dyDescent="0.35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 x14ac:dyDescent="0.35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 x14ac:dyDescent="0.35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 x14ac:dyDescent="0.35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 x14ac:dyDescent="0.35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 x14ac:dyDescent="0.35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 x14ac:dyDescent="0.35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 x14ac:dyDescent="0.35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 x14ac:dyDescent="0.35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 x14ac:dyDescent="0.35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 x14ac:dyDescent="0.35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 x14ac:dyDescent="0.35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 x14ac:dyDescent="0.35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 x14ac:dyDescent="0.35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 x14ac:dyDescent="0.35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 x14ac:dyDescent="0.35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 x14ac:dyDescent="0.35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 x14ac:dyDescent="0.35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 x14ac:dyDescent="0.35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 x14ac:dyDescent="0.35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 x14ac:dyDescent="0.35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 x14ac:dyDescent="0.35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 x14ac:dyDescent="0.35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 x14ac:dyDescent="0.35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 x14ac:dyDescent="0.35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 x14ac:dyDescent="0.35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 x14ac:dyDescent="0.35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 x14ac:dyDescent="0.35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 x14ac:dyDescent="0.35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 x14ac:dyDescent="0.35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 x14ac:dyDescent="0.35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 x14ac:dyDescent="0.35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 x14ac:dyDescent="0.35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 x14ac:dyDescent="0.35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 x14ac:dyDescent="0.35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 x14ac:dyDescent="0.35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 x14ac:dyDescent="0.35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 x14ac:dyDescent="0.35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 x14ac:dyDescent="0.35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 x14ac:dyDescent="0.35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 x14ac:dyDescent="0.35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 x14ac:dyDescent="0.35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 x14ac:dyDescent="0.35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 x14ac:dyDescent="0.35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 x14ac:dyDescent="0.35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 x14ac:dyDescent="0.35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 x14ac:dyDescent="0.35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 x14ac:dyDescent="0.35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 x14ac:dyDescent="0.35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 x14ac:dyDescent="0.35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 x14ac:dyDescent="0.35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 x14ac:dyDescent="0.35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 x14ac:dyDescent="0.35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 x14ac:dyDescent="0.35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 x14ac:dyDescent="0.35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 x14ac:dyDescent="0.35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 x14ac:dyDescent="0.35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 x14ac:dyDescent="0.35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 x14ac:dyDescent="0.35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 x14ac:dyDescent="0.35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 x14ac:dyDescent="0.35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 x14ac:dyDescent="0.35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 x14ac:dyDescent="0.35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 x14ac:dyDescent="0.35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 x14ac:dyDescent="0.35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 x14ac:dyDescent="0.35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 x14ac:dyDescent="0.35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 x14ac:dyDescent="0.35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 x14ac:dyDescent="0.35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 x14ac:dyDescent="0.35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 x14ac:dyDescent="0.35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 x14ac:dyDescent="0.35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 x14ac:dyDescent="0.35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 x14ac:dyDescent="0.35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 x14ac:dyDescent="0.35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 x14ac:dyDescent="0.35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 x14ac:dyDescent="0.35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 x14ac:dyDescent="0.35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 x14ac:dyDescent="0.35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 x14ac:dyDescent="0.35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 x14ac:dyDescent="0.35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 x14ac:dyDescent="0.35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 x14ac:dyDescent="0.35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 x14ac:dyDescent="0.35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 x14ac:dyDescent="0.35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 x14ac:dyDescent="0.35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 x14ac:dyDescent="0.35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 x14ac:dyDescent="0.35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 x14ac:dyDescent="0.35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 x14ac:dyDescent="0.35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 x14ac:dyDescent="0.35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 x14ac:dyDescent="0.35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 x14ac:dyDescent="0.35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 x14ac:dyDescent="0.35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 x14ac:dyDescent="0.35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 x14ac:dyDescent="0.35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 x14ac:dyDescent="0.35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 x14ac:dyDescent="0.35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 x14ac:dyDescent="0.35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 x14ac:dyDescent="0.35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 x14ac:dyDescent="0.35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 x14ac:dyDescent="0.35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 x14ac:dyDescent="0.35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U1342" s="1" t="s">
        <v>24</v>
      </c>
    </row>
    <row r="1343" spans="1:21" x14ac:dyDescent="0.35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 x14ac:dyDescent="0.35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 x14ac:dyDescent="0.35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 x14ac:dyDescent="0.35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 x14ac:dyDescent="0.35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 x14ac:dyDescent="0.35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 x14ac:dyDescent="0.35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 x14ac:dyDescent="0.35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 x14ac:dyDescent="0.35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 x14ac:dyDescent="0.35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 x14ac:dyDescent="0.35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 x14ac:dyDescent="0.35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 x14ac:dyDescent="0.35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 x14ac:dyDescent="0.35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 x14ac:dyDescent="0.35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 x14ac:dyDescent="0.35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 x14ac:dyDescent="0.35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 x14ac:dyDescent="0.35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 x14ac:dyDescent="0.35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 x14ac:dyDescent="0.35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 x14ac:dyDescent="0.35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 x14ac:dyDescent="0.35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 x14ac:dyDescent="0.35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 x14ac:dyDescent="0.35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 x14ac:dyDescent="0.35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 x14ac:dyDescent="0.35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 x14ac:dyDescent="0.35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 x14ac:dyDescent="0.35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 x14ac:dyDescent="0.35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 x14ac:dyDescent="0.35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 x14ac:dyDescent="0.35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 x14ac:dyDescent="0.35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 x14ac:dyDescent="0.35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 x14ac:dyDescent="0.35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 x14ac:dyDescent="0.35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 x14ac:dyDescent="0.35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 x14ac:dyDescent="0.35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 x14ac:dyDescent="0.35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 x14ac:dyDescent="0.35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 x14ac:dyDescent="0.35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 x14ac:dyDescent="0.35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 x14ac:dyDescent="0.35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 x14ac:dyDescent="0.35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 x14ac:dyDescent="0.35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 x14ac:dyDescent="0.35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 x14ac:dyDescent="0.35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 x14ac:dyDescent="0.35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 x14ac:dyDescent="0.35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 x14ac:dyDescent="0.35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 x14ac:dyDescent="0.35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 x14ac:dyDescent="0.35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 x14ac:dyDescent="0.35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 x14ac:dyDescent="0.35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 x14ac:dyDescent="0.35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 x14ac:dyDescent="0.35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 x14ac:dyDescent="0.35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 x14ac:dyDescent="0.35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 x14ac:dyDescent="0.35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 x14ac:dyDescent="0.35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 x14ac:dyDescent="0.35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 x14ac:dyDescent="0.35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 x14ac:dyDescent="0.35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 x14ac:dyDescent="0.35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 x14ac:dyDescent="0.35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 x14ac:dyDescent="0.35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 x14ac:dyDescent="0.35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 x14ac:dyDescent="0.35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 x14ac:dyDescent="0.35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 x14ac:dyDescent="0.35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 x14ac:dyDescent="0.35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 x14ac:dyDescent="0.35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 x14ac:dyDescent="0.35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 x14ac:dyDescent="0.35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 x14ac:dyDescent="0.35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 x14ac:dyDescent="0.35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 x14ac:dyDescent="0.35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 x14ac:dyDescent="0.35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 x14ac:dyDescent="0.35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 x14ac:dyDescent="0.35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 x14ac:dyDescent="0.35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 x14ac:dyDescent="0.35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 x14ac:dyDescent="0.35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 x14ac:dyDescent="0.35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 x14ac:dyDescent="0.35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 x14ac:dyDescent="0.35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 x14ac:dyDescent="0.35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 x14ac:dyDescent="0.35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 x14ac:dyDescent="0.35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 x14ac:dyDescent="0.35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 x14ac:dyDescent="0.35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 x14ac:dyDescent="0.35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 x14ac:dyDescent="0.35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 x14ac:dyDescent="0.35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 x14ac:dyDescent="0.35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 x14ac:dyDescent="0.35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 x14ac:dyDescent="0.35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 x14ac:dyDescent="0.35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 x14ac:dyDescent="0.35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 x14ac:dyDescent="0.35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 x14ac:dyDescent="0.35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 x14ac:dyDescent="0.35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 x14ac:dyDescent="0.35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 x14ac:dyDescent="0.35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 x14ac:dyDescent="0.35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 x14ac:dyDescent="0.35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 x14ac:dyDescent="0.35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 x14ac:dyDescent="0.35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 x14ac:dyDescent="0.35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 x14ac:dyDescent="0.35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 x14ac:dyDescent="0.35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 x14ac:dyDescent="0.35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 x14ac:dyDescent="0.35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 x14ac:dyDescent="0.35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 x14ac:dyDescent="0.35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 x14ac:dyDescent="0.35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 x14ac:dyDescent="0.35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 x14ac:dyDescent="0.35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 x14ac:dyDescent="0.35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 x14ac:dyDescent="0.35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 x14ac:dyDescent="0.35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 x14ac:dyDescent="0.35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 x14ac:dyDescent="0.35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 x14ac:dyDescent="0.35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 x14ac:dyDescent="0.35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 x14ac:dyDescent="0.35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 x14ac:dyDescent="0.35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 x14ac:dyDescent="0.35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 x14ac:dyDescent="0.35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 x14ac:dyDescent="0.35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 x14ac:dyDescent="0.35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 x14ac:dyDescent="0.35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 x14ac:dyDescent="0.35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 x14ac:dyDescent="0.35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 x14ac:dyDescent="0.35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 x14ac:dyDescent="0.35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 x14ac:dyDescent="0.35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 x14ac:dyDescent="0.35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 x14ac:dyDescent="0.35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 x14ac:dyDescent="0.35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 x14ac:dyDescent="0.35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 x14ac:dyDescent="0.35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 x14ac:dyDescent="0.35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 x14ac:dyDescent="0.35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 x14ac:dyDescent="0.35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 x14ac:dyDescent="0.35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 x14ac:dyDescent="0.35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 x14ac:dyDescent="0.35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 x14ac:dyDescent="0.35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 x14ac:dyDescent="0.35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 x14ac:dyDescent="0.35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 x14ac:dyDescent="0.35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 x14ac:dyDescent="0.35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 x14ac:dyDescent="0.35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 x14ac:dyDescent="0.35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 x14ac:dyDescent="0.35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 x14ac:dyDescent="0.35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 x14ac:dyDescent="0.35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 x14ac:dyDescent="0.35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 x14ac:dyDescent="0.35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 x14ac:dyDescent="0.35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 x14ac:dyDescent="0.35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 x14ac:dyDescent="0.35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 x14ac:dyDescent="0.35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 x14ac:dyDescent="0.35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 x14ac:dyDescent="0.35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 x14ac:dyDescent="0.35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 x14ac:dyDescent="0.35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 x14ac:dyDescent="0.35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 x14ac:dyDescent="0.35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 x14ac:dyDescent="0.35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 x14ac:dyDescent="0.35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 x14ac:dyDescent="0.35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 x14ac:dyDescent="0.35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 x14ac:dyDescent="0.35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 x14ac:dyDescent="0.35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 x14ac:dyDescent="0.35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 x14ac:dyDescent="0.35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 x14ac:dyDescent="0.35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 x14ac:dyDescent="0.35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 x14ac:dyDescent="0.35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 x14ac:dyDescent="0.35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 x14ac:dyDescent="0.35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 x14ac:dyDescent="0.35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 x14ac:dyDescent="0.35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 x14ac:dyDescent="0.35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 x14ac:dyDescent="0.35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 x14ac:dyDescent="0.35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 x14ac:dyDescent="0.35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 x14ac:dyDescent="0.35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 x14ac:dyDescent="0.35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 x14ac:dyDescent="0.35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 x14ac:dyDescent="0.35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 x14ac:dyDescent="0.35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 x14ac:dyDescent="0.35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 x14ac:dyDescent="0.35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 x14ac:dyDescent="0.35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 x14ac:dyDescent="0.35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 x14ac:dyDescent="0.35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 x14ac:dyDescent="0.35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 x14ac:dyDescent="0.35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 x14ac:dyDescent="0.35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 x14ac:dyDescent="0.35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 x14ac:dyDescent="0.35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 x14ac:dyDescent="0.35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 x14ac:dyDescent="0.35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 x14ac:dyDescent="0.35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 x14ac:dyDescent="0.35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 x14ac:dyDescent="0.35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 x14ac:dyDescent="0.35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 x14ac:dyDescent="0.35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 x14ac:dyDescent="0.35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 x14ac:dyDescent="0.35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 x14ac:dyDescent="0.35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 x14ac:dyDescent="0.35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 x14ac:dyDescent="0.35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 x14ac:dyDescent="0.35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 x14ac:dyDescent="0.35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 x14ac:dyDescent="0.35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 x14ac:dyDescent="0.35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 x14ac:dyDescent="0.35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 x14ac:dyDescent="0.35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 x14ac:dyDescent="0.35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 x14ac:dyDescent="0.35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 x14ac:dyDescent="0.35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 x14ac:dyDescent="0.35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 x14ac:dyDescent="0.35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 x14ac:dyDescent="0.35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 x14ac:dyDescent="0.35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 x14ac:dyDescent="0.35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 x14ac:dyDescent="0.35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 x14ac:dyDescent="0.35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 x14ac:dyDescent="0.35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 x14ac:dyDescent="0.35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 x14ac:dyDescent="0.35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 x14ac:dyDescent="0.35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 x14ac:dyDescent="0.35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 x14ac:dyDescent="0.35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 x14ac:dyDescent="0.35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 x14ac:dyDescent="0.35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 x14ac:dyDescent="0.35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 x14ac:dyDescent="0.35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 x14ac:dyDescent="0.35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 x14ac:dyDescent="0.35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 x14ac:dyDescent="0.35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 x14ac:dyDescent="0.35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 x14ac:dyDescent="0.35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 x14ac:dyDescent="0.35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 x14ac:dyDescent="0.35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 x14ac:dyDescent="0.35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 x14ac:dyDescent="0.35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 x14ac:dyDescent="0.35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 x14ac:dyDescent="0.35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 x14ac:dyDescent="0.35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 x14ac:dyDescent="0.35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 x14ac:dyDescent="0.35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 x14ac:dyDescent="0.35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 x14ac:dyDescent="0.35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 x14ac:dyDescent="0.35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 x14ac:dyDescent="0.35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 x14ac:dyDescent="0.35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 x14ac:dyDescent="0.35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 x14ac:dyDescent="0.35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 x14ac:dyDescent="0.35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 x14ac:dyDescent="0.35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 x14ac:dyDescent="0.35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 x14ac:dyDescent="0.35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 x14ac:dyDescent="0.35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 x14ac:dyDescent="0.35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 x14ac:dyDescent="0.35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 x14ac:dyDescent="0.35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 x14ac:dyDescent="0.35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 x14ac:dyDescent="0.35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 x14ac:dyDescent="0.35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 x14ac:dyDescent="0.35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 x14ac:dyDescent="0.35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 x14ac:dyDescent="0.35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 x14ac:dyDescent="0.35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 x14ac:dyDescent="0.35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 x14ac:dyDescent="0.35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 x14ac:dyDescent="0.35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 x14ac:dyDescent="0.35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 x14ac:dyDescent="0.35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 x14ac:dyDescent="0.35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 x14ac:dyDescent="0.35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 x14ac:dyDescent="0.35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 x14ac:dyDescent="0.35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 x14ac:dyDescent="0.35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 x14ac:dyDescent="0.35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 x14ac:dyDescent="0.35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 x14ac:dyDescent="0.35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 x14ac:dyDescent="0.35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 x14ac:dyDescent="0.35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 x14ac:dyDescent="0.35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 x14ac:dyDescent="0.35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 x14ac:dyDescent="0.35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 x14ac:dyDescent="0.35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 x14ac:dyDescent="0.35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 x14ac:dyDescent="0.35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 x14ac:dyDescent="0.35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 x14ac:dyDescent="0.35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 x14ac:dyDescent="0.35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 x14ac:dyDescent="0.35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 x14ac:dyDescent="0.35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 x14ac:dyDescent="0.35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 x14ac:dyDescent="0.35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 x14ac:dyDescent="0.35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 x14ac:dyDescent="0.35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 x14ac:dyDescent="0.35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 x14ac:dyDescent="0.35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 x14ac:dyDescent="0.35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 x14ac:dyDescent="0.35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 x14ac:dyDescent="0.35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 x14ac:dyDescent="0.35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 x14ac:dyDescent="0.35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 x14ac:dyDescent="0.35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 x14ac:dyDescent="0.35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 x14ac:dyDescent="0.35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 x14ac:dyDescent="0.35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 x14ac:dyDescent="0.35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 x14ac:dyDescent="0.35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 x14ac:dyDescent="0.35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 x14ac:dyDescent="0.35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 x14ac:dyDescent="0.35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 x14ac:dyDescent="0.35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 x14ac:dyDescent="0.35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 x14ac:dyDescent="0.35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 x14ac:dyDescent="0.35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 x14ac:dyDescent="0.35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 x14ac:dyDescent="0.35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 x14ac:dyDescent="0.35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 x14ac:dyDescent="0.35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 x14ac:dyDescent="0.35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 x14ac:dyDescent="0.35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 x14ac:dyDescent="0.35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 x14ac:dyDescent="0.35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 x14ac:dyDescent="0.35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 x14ac:dyDescent="0.35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 x14ac:dyDescent="0.35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 x14ac:dyDescent="0.35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 x14ac:dyDescent="0.35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 x14ac:dyDescent="0.35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 x14ac:dyDescent="0.35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 x14ac:dyDescent="0.35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 x14ac:dyDescent="0.35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 x14ac:dyDescent="0.35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 x14ac:dyDescent="0.35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 x14ac:dyDescent="0.35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 x14ac:dyDescent="0.35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 x14ac:dyDescent="0.35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 x14ac:dyDescent="0.35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 x14ac:dyDescent="0.35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 x14ac:dyDescent="0.35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 x14ac:dyDescent="0.35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 x14ac:dyDescent="0.35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 x14ac:dyDescent="0.35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 x14ac:dyDescent="0.35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 x14ac:dyDescent="0.35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 x14ac:dyDescent="0.35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 x14ac:dyDescent="0.35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 x14ac:dyDescent="0.35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 x14ac:dyDescent="0.35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 x14ac:dyDescent="0.35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 x14ac:dyDescent="0.35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 x14ac:dyDescent="0.35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 x14ac:dyDescent="0.35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 x14ac:dyDescent="0.35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 x14ac:dyDescent="0.35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 x14ac:dyDescent="0.35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 x14ac:dyDescent="0.35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 x14ac:dyDescent="0.35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 x14ac:dyDescent="0.35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 x14ac:dyDescent="0.35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 x14ac:dyDescent="0.35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 x14ac:dyDescent="0.35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 x14ac:dyDescent="0.35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 x14ac:dyDescent="0.35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 x14ac:dyDescent="0.35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 x14ac:dyDescent="0.35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 x14ac:dyDescent="0.35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 x14ac:dyDescent="0.35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 x14ac:dyDescent="0.35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 x14ac:dyDescent="0.35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 x14ac:dyDescent="0.35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 x14ac:dyDescent="0.35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 x14ac:dyDescent="0.35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 x14ac:dyDescent="0.35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 x14ac:dyDescent="0.35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 x14ac:dyDescent="0.35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 x14ac:dyDescent="0.35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 x14ac:dyDescent="0.35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 x14ac:dyDescent="0.35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 x14ac:dyDescent="0.35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 x14ac:dyDescent="0.35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 x14ac:dyDescent="0.35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 x14ac:dyDescent="0.35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 x14ac:dyDescent="0.35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 x14ac:dyDescent="0.35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 x14ac:dyDescent="0.35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 x14ac:dyDescent="0.35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 x14ac:dyDescent="0.35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 x14ac:dyDescent="0.35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 x14ac:dyDescent="0.35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 x14ac:dyDescent="0.35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 x14ac:dyDescent="0.35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 x14ac:dyDescent="0.35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 x14ac:dyDescent="0.35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 x14ac:dyDescent="0.35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 x14ac:dyDescent="0.35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 x14ac:dyDescent="0.35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 x14ac:dyDescent="0.35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 x14ac:dyDescent="0.35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 x14ac:dyDescent="0.35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 x14ac:dyDescent="0.35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 x14ac:dyDescent="0.35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 x14ac:dyDescent="0.35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 x14ac:dyDescent="0.35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 x14ac:dyDescent="0.35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 x14ac:dyDescent="0.35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 x14ac:dyDescent="0.35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 x14ac:dyDescent="0.35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 x14ac:dyDescent="0.35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 x14ac:dyDescent="0.35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 x14ac:dyDescent="0.35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 x14ac:dyDescent="0.35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 x14ac:dyDescent="0.35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 x14ac:dyDescent="0.35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 x14ac:dyDescent="0.35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 x14ac:dyDescent="0.35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 x14ac:dyDescent="0.35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 x14ac:dyDescent="0.35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 x14ac:dyDescent="0.35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 x14ac:dyDescent="0.35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 x14ac:dyDescent="0.35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 x14ac:dyDescent="0.35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 x14ac:dyDescent="0.35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 x14ac:dyDescent="0.35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 x14ac:dyDescent="0.35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 x14ac:dyDescent="0.35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 x14ac:dyDescent="0.35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 x14ac:dyDescent="0.35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 x14ac:dyDescent="0.35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 x14ac:dyDescent="0.35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 x14ac:dyDescent="0.35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 x14ac:dyDescent="0.35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 x14ac:dyDescent="0.35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 x14ac:dyDescent="0.35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 x14ac:dyDescent="0.35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 x14ac:dyDescent="0.35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 x14ac:dyDescent="0.35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 x14ac:dyDescent="0.35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 x14ac:dyDescent="0.35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 x14ac:dyDescent="0.35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 x14ac:dyDescent="0.35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 x14ac:dyDescent="0.35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 x14ac:dyDescent="0.35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 x14ac:dyDescent="0.35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 x14ac:dyDescent="0.35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 x14ac:dyDescent="0.35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 x14ac:dyDescent="0.35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 x14ac:dyDescent="0.35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 x14ac:dyDescent="0.35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 x14ac:dyDescent="0.35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 x14ac:dyDescent="0.35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 x14ac:dyDescent="0.35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 x14ac:dyDescent="0.35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 x14ac:dyDescent="0.35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 x14ac:dyDescent="0.35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 x14ac:dyDescent="0.35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 x14ac:dyDescent="0.35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 x14ac:dyDescent="0.35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 x14ac:dyDescent="0.35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 x14ac:dyDescent="0.35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 x14ac:dyDescent="0.35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 x14ac:dyDescent="0.35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 x14ac:dyDescent="0.35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 x14ac:dyDescent="0.35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 x14ac:dyDescent="0.35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 x14ac:dyDescent="0.35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 x14ac:dyDescent="0.35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 x14ac:dyDescent="0.35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 x14ac:dyDescent="0.35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 x14ac:dyDescent="0.35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 x14ac:dyDescent="0.35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 x14ac:dyDescent="0.35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 x14ac:dyDescent="0.35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 x14ac:dyDescent="0.35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 x14ac:dyDescent="0.35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 x14ac:dyDescent="0.35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 x14ac:dyDescent="0.35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 x14ac:dyDescent="0.35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 x14ac:dyDescent="0.35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 x14ac:dyDescent="0.35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 x14ac:dyDescent="0.35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 x14ac:dyDescent="0.35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 x14ac:dyDescent="0.35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 x14ac:dyDescent="0.35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 x14ac:dyDescent="0.35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 x14ac:dyDescent="0.35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 x14ac:dyDescent="0.35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 x14ac:dyDescent="0.35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 x14ac:dyDescent="0.35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 x14ac:dyDescent="0.35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 x14ac:dyDescent="0.35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 x14ac:dyDescent="0.35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 x14ac:dyDescent="0.35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 x14ac:dyDescent="0.35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 x14ac:dyDescent="0.35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 x14ac:dyDescent="0.35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 x14ac:dyDescent="0.35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 x14ac:dyDescent="0.35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 x14ac:dyDescent="0.35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 x14ac:dyDescent="0.35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 x14ac:dyDescent="0.35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 x14ac:dyDescent="0.35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 x14ac:dyDescent="0.35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 x14ac:dyDescent="0.35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 x14ac:dyDescent="0.35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 x14ac:dyDescent="0.35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 x14ac:dyDescent="0.35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 x14ac:dyDescent="0.35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 x14ac:dyDescent="0.35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 x14ac:dyDescent="0.35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 x14ac:dyDescent="0.35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 x14ac:dyDescent="0.35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 x14ac:dyDescent="0.35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 x14ac:dyDescent="0.35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 x14ac:dyDescent="0.35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 x14ac:dyDescent="0.35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 x14ac:dyDescent="0.35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 x14ac:dyDescent="0.35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 x14ac:dyDescent="0.35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 x14ac:dyDescent="0.35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 x14ac:dyDescent="0.35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 x14ac:dyDescent="0.35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 x14ac:dyDescent="0.35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 x14ac:dyDescent="0.35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 x14ac:dyDescent="0.35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 x14ac:dyDescent="0.35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 x14ac:dyDescent="0.35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 x14ac:dyDescent="0.35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 x14ac:dyDescent="0.35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 x14ac:dyDescent="0.35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 x14ac:dyDescent="0.35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 x14ac:dyDescent="0.35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 x14ac:dyDescent="0.35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 x14ac:dyDescent="0.35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 x14ac:dyDescent="0.35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 x14ac:dyDescent="0.35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 x14ac:dyDescent="0.35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 x14ac:dyDescent="0.35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 x14ac:dyDescent="0.35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 x14ac:dyDescent="0.35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 x14ac:dyDescent="0.35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 x14ac:dyDescent="0.35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 x14ac:dyDescent="0.35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 x14ac:dyDescent="0.35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 x14ac:dyDescent="0.35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 x14ac:dyDescent="0.35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 x14ac:dyDescent="0.35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 x14ac:dyDescent="0.35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 x14ac:dyDescent="0.35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 x14ac:dyDescent="0.35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 x14ac:dyDescent="0.35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 x14ac:dyDescent="0.35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 x14ac:dyDescent="0.35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 x14ac:dyDescent="0.35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 x14ac:dyDescent="0.35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 x14ac:dyDescent="0.35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 x14ac:dyDescent="0.35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 x14ac:dyDescent="0.35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 x14ac:dyDescent="0.35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 x14ac:dyDescent="0.35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 x14ac:dyDescent="0.35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 x14ac:dyDescent="0.35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 x14ac:dyDescent="0.35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 x14ac:dyDescent="0.35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 x14ac:dyDescent="0.35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 x14ac:dyDescent="0.35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 x14ac:dyDescent="0.35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 x14ac:dyDescent="0.35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 x14ac:dyDescent="0.35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 x14ac:dyDescent="0.35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 x14ac:dyDescent="0.35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 x14ac:dyDescent="0.35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 x14ac:dyDescent="0.35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 x14ac:dyDescent="0.35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 x14ac:dyDescent="0.35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 x14ac:dyDescent="0.35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 x14ac:dyDescent="0.35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 x14ac:dyDescent="0.35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 x14ac:dyDescent="0.35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 x14ac:dyDescent="0.35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 x14ac:dyDescent="0.35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 x14ac:dyDescent="0.35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 x14ac:dyDescent="0.35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 x14ac:dyDescent="0.35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 x14ac:dyDescent="0.35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 x14ac:dyDescent="0.35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 x14ac:dyDescent="0.35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 x14ac:dyDescent="0.35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 x14ac:dyDescent="0.35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 x14ac:dyDescent="0.35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 x14ac:dyDescent="0.35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 x14ac:dyDescent="0.35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 x14ac:dyDescent="0.35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 x14ac:dyDescent="0.35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 x14ac:dyDescent="0.35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 x14ac:dyDescent="0.35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 x14ac:dyDescent="0.35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 x14ac:dyDescent="0.35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 x14ac:dyDescent="0.35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 x14ac:dyDescent="0.35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 x14ac:dyDescent="0.35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 x14ac:dyDescent="0.35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 x14ac:dyDescent="0.35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 x14ac:dyDescent="0.35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 x14ac:dyDescent="0.35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 x14ac:dyDescent="0.35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 x14ac:dyDescent="0.35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 x14ac:dyDescent="0.35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 x14ac:dyDescent="0.35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 x14ac:dyDescent="0.35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 x14ac:dyDescent="0.35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 x14ac:dyDescent="0.35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 x14ac:dyDescent="0.35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 x14ac:dyDescent="0.35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 x14ac:dyDescent="0.35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 x14ac:dyDescent="0.35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 x14ac:dyDescent="0.35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 x14ac:dyDescent="0.35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 x14ac:dyDescent="0.35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 x14ac:dyDescent="0.35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 x14ac:dyDescent="0.35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 x14ac:dyDescent="0.35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 x14ac:dyDescent="0.35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 x14ac:dyDescent="0.35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 x14ac:dyDescent="0.35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 x14ac:dyDescent="0.35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 x14ac:dyDescent="0.35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 x14ac:dyDescent="0.35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 x14ac:dyDescent="0.35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 x14ac:dyDescent="0.35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 x14ac:dyDescent="0.35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 x14ac:dyDescent="0.35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 x14ac:dyDescent="0.35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 x14ac:dyDescent="0.35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 x14ac:dyDescent="0.35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 x14ac:dyDescent="0.35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 x14ac:dyDescent="0.35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 x14ac:dyDescent="0.35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 x14ac:dyDescent="0.35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 x14ac:dyDescent="0.35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 x14ac:dyDescent="0.35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 x14ac:dyDescent="0.35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 x14ac:dyDescent="0.35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 x14ac:dyDescent="0.35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 x14ac:dyDescent="0.35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 x14ac:dyDescent="0.35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 x14ac:dyDescent="0.35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 x14ac:dyDescent="0.35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 x14ac:dyDescent="0.35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 x14ac:dyDescent="0.35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 x14ac:dyDescent="0.35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 x14ac:dyDescent="0.35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 x14ac:dyDescent="0.35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 x14ac:dyDescent="0.35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 x14ac:dyDescent="0.35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 x14ac:dyDescent="0.35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 x14ac:dyDescent="0.35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 x14ac:dyDescent="0.35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 x14ac:dyDescent="0.35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 x14ac:dyDescent="0.35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 x14ac:dyDescent="0.35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 x14ac:dyDescent="0.35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 x14ac:dyDescent="0.35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 x14ac:dyDescent="0.35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 x14ac:dyDescent="0.35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 x14ac:dyDescent="0.35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 x14ac:dyDescent="0.35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 x14ac:dyDescent="0.35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 x14ac:dyDescent="0.35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 x14ac:dyDescent="0.35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 x14ac:dyDescent="0.35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 x14ac:dyDescent="0.35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 x14ac:dyDescent="0.35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 x14ac:dyDescent="0.35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 x14ac:dyDescent="0.35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 x14ac:dyDescent="0.35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 x14ac:dyDescent="0.35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 x14ac:dyDescent="0.35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 x14ac:dyDescent="0.35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 x14ac:dyDescent="0.35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 x14ac:dyDescent="0.35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 x14ac:dyDescent="0.35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 x14ac:dyDescent="0.35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 x14ac:dyDescent="0.35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 x14ac:dyDescent="0.35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 x14ac:dyDescent="0.35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 x14ac:dyDescent="0.35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 x14ac:dyDescent="0.35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 x14ac:dyDescent="0.35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 x14ac:dyDescent="0.35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 x14ac:dyDescent="0.35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 x14ac:dyDescent="0.35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 x14ac:dyDescent="0.35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 x14ac:dyDescent="0.35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 x14ac:dyDescent="0.35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 x14ac:dyDescent="0.35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 x14ac:dyDescent="0.35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 x14ac:dyDescent="0.35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 x14ac:dyDescent="0.35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 x14ac:dyDescent="0.35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 x14ac:dyDescent="0.35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 x14ac:dyDescent="0.35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 x14ac:dyDescent="0.35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 x14ac:dyDescent="0.35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 x14ac:dyDescent="0.35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 x14ac:dyDescent="0.35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 x14ac:dyDescent="0.35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 x14ac:dyDescent="0.35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 x14ac:dyDescent="0.35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 x14ac:dyDescent="0.35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 x14ac:dyDescent="0.35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 x14ac:dyDescent="0.35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 x14ac:dyDescent="0.35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 x14ac:dyDescent="0.35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 x14ac:dyDescent="0.35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 x14ac:dyDescent="0.35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 x14ac:dyDescent="0.35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 x14ac:dyDescent="0.35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 x14ac:dyDescent="0.35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 x14ac:dyDescent="0.35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 x14ac:dyDescent="0.35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 x14ac:dyDescent="0.35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 x14ac:dyDescent="0.35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 x14ac:dyDescent="0.35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 x14ac:dyDescent="0.35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 x14ac:dyDescent="0.35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 x14ac:dyDescent="0.35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 x14ac:dyDescent="0.35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 x14ac:dyDescent="0.35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 x14ac:dyDescent="0.35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 x14ac:dyDescent="0.35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 x14ac:dyDescent="0.35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 x14ac:dyDescent="0.35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 x14ac:dyDescent="0.35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 x14ac:dyDescent="0.35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 x14ac:dyDescent="0.35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 x14ac:dyDescent="0.35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 x14ac:dyDescent="0.35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 x14ac:dyDescent="0.35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 x14ac:dyDescent="0.35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 x14ac:dyDescent="0.35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 x14ac:dyDescent="0.35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 x14ac:dyDescent="0.35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 x14ac:dyDescent="0.35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 x14ac:dyDescent="0.35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 x14ac:dyDescent="0.35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 x14ac:dyDescent="0.35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 x14ac:dyDescent="0.35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 x14ac:dyDescent="0.35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 x14ac:dyDescent="0.35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 x14ac:dyDescent="0.35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 x14ac:dyDescent="0.35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 x14ac:dyDescent="0.35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 x14ac:dyDescent="0.35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 x14ac:dyDescent="0.35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 x14ac:dyDescent="0.35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 x14ac:dyDescent="0.35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 x14ac:dyDescent="0.35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 x14ac:dyDescent="0.35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 x14ac:dyDescent="0.35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 x14ac:dyDescent="0.35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 x14ac:dyDescent="0.35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 x14ac:dyDescent="0.35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 x14ac:dyDescent="0.35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 x14ac:dyDescent="0.35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 x14ac:dyDescent="0.35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 x14ac:dyDescent="0.35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 x14ac:dyDescent="0.35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 x14ac:dyDescent="0.35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 x14ac:dyDescent="0.35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 x14ac:dyDescent="0.35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 x14ac:dyDescent="0.35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 x14ac:dyDescent="0.35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 x14ac:dyDescent="0.35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 x14ac:dyDescent="0.35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 x14ac:dyDescent="0.35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 x14ac:dyDescent="0.35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 x14ac:dyDescent="0.35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 x14ac:dyDescent="0.35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 x14ac:dyDescent="0.35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 x14ac:dyDescent="0.35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 x14ac:dyDescent="0.35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 x14ac:dyDescent="0.35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 x14ac:dyDescent="0.35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 x14ac:dyDescent="0.35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 x14ac:dyDescent="0.35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 x14ac:dyDescent="0.35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 x14ac:dyDescent="0.35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 x14ac:dyDescent="0.35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 x14ac:dyDescent="0.35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 x14ac:dyDescent="0.35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 x14ac:dyDescent="0.35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 x14ac:dyDescent="0.35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 x14ac:dyDescent="0.35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 x14ac:dyDescent="0.35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 x14ac:dyDescent="0.35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 x14ac:dyDescent="0.35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 x14ac:dyDescent="0.35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 x14ac:dyDescent="0.35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 x14ac:dyDescent="0.35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 x14ac:dyDescent="0.35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 x14ac:dyDescent="0.35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 x14ac:dyDescent="0.35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 x14ac:dyDescent="0.35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 x14ac:dyDescent="0.35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 x14ac:dyDescent="0.35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 x14ac:dyDescent="0.35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 x14ac:dyDescent="0.35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 x14ac:dyDescent="0.35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 x14ac:dyDescent="0.35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 x14ac:dyDescent="0.35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 x14ac:dyDescent="0.35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 x14ac:dyDescent="0.35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 x14ac:dyDescent="0.35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 x14ac:dyDescent="0.35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 x14ac:dyDescent="0.35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 x14ac:dyDescent="0.35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 x14ac:dyDescent="0.35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 x14ac:dyDescent="0.35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 x14ac:dyDescent="0.35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 x14ac:dyDescent="0.35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 x14ac:dyDescent="0.35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 x14ac:dyDescent="0.35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 x14ac:dyDescent="0.35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 x14ac:dyDescent="0.35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 x14ac:dyDescent="0.35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 x14ac:dyDescent="0.35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 x14ac:dyDescent="0.35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 x14ac:dyDescent="0.35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 x14ac:dyDescent="0.35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 x14ac:dyDescent="0.35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 x14ac:dyDescent="0.35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 x14ac:dyDescent="0.35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 x14ac:dyDescent="0.35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 x14ac:dyDescent="0.35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 x14ac:dyDescent="0.35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 x14ac:dyDescent="0.35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 x14ac:dyDescent="0.35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 x14ac:dyDescent="0.35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 x14ac:dyDescent="0.35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 x14ac:dyDescent="0.35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 x14ac:dyDescent="0.35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 x14ac:dyDescent="0.35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 x14ac:dyDescent="0.35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 x14ac:dyDescent="0.35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 x14ac:dyDescent="0.35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 x14ac:dyDescent="0.35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 x14ac:dyDescent="0.35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 x14ac:dyDescent="0.35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 x14ac:dyDescent="0.35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 x14ac:dyDescent="0.35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 x14ac:dyDescent="0.35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 x14ac:dyDescent="0.35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 x14ac:dyDescent="0.35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 x14ac:dyDescent="0.35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 x14ac:dyDescent="0.35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 x14ac:dyDescent="0.35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 x14ac:dyDescent="0.35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 x14ac:dyDescent="0.35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 x14ac:dyDescent="0.35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 x14ac:dyDescent="0.35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 x14ac:dyDescent="0.35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 x14ac:dyDescent="0.35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 x14ac:dyDescent="0.35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 x14ac:dyDescent="0.35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 x14ac:dyDescent="0.35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 x14ac:dyDescent="0.35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 x14ac:dyDescent="0.35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 x14ac:dyDescent="0.35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 x14ac:dyDescent="0.35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 x14ac:dyDescent="0.35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 x14ac:dyDescent="0.35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 x14ac:dyDescent="0.35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 x14ac:dyDescent="0.35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 x14ac:dyDescent="0.35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 x14ac:dyDescent="0.35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 x14ac:dyDescent="0.35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 x14ac:dyDescent="0.35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 x14ac:dyDescent="0.35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 x14ac:dyDescent="0.35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 x14ac:dyDescent="0.35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 x14ac:dyDescent="0.35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 x14ac:dyDescent="0.35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 x14ac:dyDescent="0.35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 x14ac:dyDescent="0.35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 x14ac:dyDescent="0.35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 x14ac:dyDescent="0.35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 x14ac:dyDescent="0.35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 x14ac:dyDescent="0.35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 x14ac:dyDescent="0.35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 x14ac:dyDescent="0.35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 x14ac:dyDescent="0.35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 x14ac:dyDescent="0.35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 x14ac:dyDescent="0.35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 x14ac:dyDescent="0.35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 x14ac:dyDescent="0.35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 x14ac:dyDescent="0.35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 x14ac:dyDescent="0.35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 x14ac:dyDescent="0.35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 x14ac:dyDescent="0.35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 x14ac:dyDescent="0.35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 x14ac:dyDescent="0.35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 x14ac:dyDescent="0.35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 x14ac:dyDescent="0.35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 x14ac:dyDescent="0.35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 x14ac:dyDescent="0.35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 x14ac:dyDescent="0.35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 x14ac:dyDescent="0.35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 x14ac:dyDescent="0.35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 x14ac:dyDescent="0.35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 x14ac:dyDescent="0.35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 x14ac:dyDescent="0.35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 x14ac:dyDescent="0.35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 x14ac:dyDescent="0.35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 x14ac:dyDescent="0.35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 x14ac:dyDescent="0.35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 x14ac:dyDescent="0.35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 x14ac:dyDescent="0.35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 x14ac:dyDescent="0.35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 x14ac:dyDescent="0.35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 x14ac:dyDescent="0.35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 x14ac:dyDescent="0.35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 x14ac:dyDescent="0.35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 x14ac:dyDescent="0.35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 x14ac:dyDescent="0.35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 x14ac:dyDescent="0.35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 x14ac:dyDescent="0.35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 x14ac:dyDescent="0.35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 x14ac:dyDescent="0.35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 x14ac:dyDescent="0.35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 x14ac:dyDescent="0.35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 x14ac:dyDescent="0.35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 x14ac:dyDescent="0.35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 x14ac:dyDescent="0.35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 x14ac:dyDescent="0.35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 x14ac:dyDescent="0.35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 x14ac:dyDescent="0.35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 x14ac:dyDescent="0.35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 x14ac:dyDescent="0.35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 x14ac:dyDescent="0.35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 x14ac:dyDescent="0.35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 x14ac:dyDescent="0.35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 x14ac:dyDescent="0.35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 x14ac:dyDescent="0.35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 x14ac:dyDescent="0.35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 x14ac:dyDescent="0.35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 x14ac:dyDescent="0.35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 x14ac:dyDescent="0.35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 x14ac:dyDescent="0.35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 x14ac:dyDescent="0.35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 x14ac:dyDescent="0.35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 x14ac:dyDescent="0.35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 x14ac:dyDescent="0.35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 x14ac:dyDescent="0.35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 x14ac:dyDescent="0.35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 x14ac:dyDescent="0.35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 x14ac:dyDescent="0.35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 x14ac:dyDescent="0.35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 x14ac:dyDescent="0.35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 x14ac:dyDescent="0.35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 x14ac:dyDescent="0.35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 x14ac:dyDescent="0.35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 x14ac:dyDescent="0.35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 x14ac:dyDescent="0.35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 x14ac:dyDescent="0.35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 x14ac:dyDescent="0.35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 x14ac:dyDescent="0.35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 x14ac:dyDescent="0.35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 x14ac:dyDescent="0.35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 x14ac:dyDescent="0.35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 x14ac:dyDescent="0.35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 x14ac:dyDescent="0.35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 x14ac:dyDescent="0.35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 x14ac:dyDescent="0.35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 x14ac:dyDescent="0.35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 x14ac:dyDescent="0.35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 x14ac:dyDescent="0.35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 x14ac:dyDescent="0.35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 x14ac:dyDescent="0.35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 x14ac:dyDescent="0.35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 x14ac:dyDescent="0.35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 x14ac:dyDescent="0.35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 x14ac:dyDescent="0.35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 x14ac:dyDescent="0.35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 x14ac:dyDescent="0.35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 x14ac:dyDescent="0.35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 x14ac:dyDescent="0.35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 x14ac:dyDescent="0.35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 x14ac:dyDescent="0.35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 x14ac:dyDescent="0.35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 x14ac:dyDescent="0.35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 x14ac:dyDescent="0.35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 x14ac:dyDescent="0.35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 x14ac:dyDescent="0.35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 x14ac:dyDescent="0.35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 x14ac:dyDescent="0.35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 x14ac:dyDescent="0.35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 x14ac:dyDescent="0.35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 x14ac:dyDescent="0.35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 x14ac:dyDescent="0.35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 x14ac:dyDescent="0.35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 x14ac:dyDescent="0.35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 x14ac:dyDescent="0.35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 x14ac:dyDescent="0.35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 x14ac:dyDescent="0.35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 x14ac:dyDescent="0.35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 x14ac:dyDescent="0.35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 x14ac:dyDescent="0.35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 x14ac:dyDescent="0.35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 x14ac:dyDescent="0.35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 x14ac:dyDescent="0.35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 x14ac:dyDescent="0.35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 x14ac:dyDescent="0.35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 x14ac:dyDescent="0.35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 x14ac:dyDescent="0.35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 x14ac:dyDescent="0.35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 x14ac:dyDescent="0.35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 x14ac:dyDescent="0.35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 x14ac:dyDescent="0.35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 x14ac:dyDescent="0.35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 x14ac:dyDescent="0.35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 x14ac:dyDescent="0.35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 x14ac:dyDescent="0.35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 x14ac:dyDescent="0.35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 x14ac:dyDescent="0.35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 x14ac:dyDescent="0.35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 x14ac:dyDescent="0.35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 x14ac:dyDescent="0.35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 x14ac:dyDescent="0.35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 x14ac:dyDescent="0.35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 x14ac:dyDescent="0.35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 x14ac:dyDescent="0.35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 x14ac:dyDescent="0.35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 x14ac:dyDescent="0.35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 x14ac:dyDescent="0.35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 x14ac:dyDescent="0.35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 x14ac:dyDescent="0.35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 x14ac:dyDescent="0.35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 x14ac:dyDescent="0.35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 x14ac:dyDescent="0.35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 x14ac:dyDescent="0.35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 x14ac:dyDescent="0.35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 x14ac:dyDescent="0.35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 x14ac:dyDescent="0.35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 x14ac:dyDescent="0.35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 x14ac:dyDescent="0.35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 x14ac:dyDescent="0.35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 x14ac:dyDescent="0.35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 x14ac:dyDescent="0.35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 x14ac:dyDescent="0.35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 x14ac:dyDescent="0.35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 x14ac:dyDescent="0.35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 x14ac:dyDescent="0.35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 x14ac:dyDescent="0.35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 x14ac:dyDescent="0.35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 x14ac:dyDescent="0.35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 x14ac:dyDescent="0.35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 x14ac:dyDescent="0.35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 x14ac:dyDescent="0.35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 x14ac:dyDescent="0.35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 x14ac:dyDescent="0.35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 x14ac:dyDescent="0.35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 x14ac:dyDescent="0.35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 x14ac:dyDescent="0.35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 x14ac:dyDescent="0.35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 x14ac:dyDescent="0.35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 x14ac:dyDescent="0.35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 x14ac:dyDescent="0.35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 x14ac:dyDescent="0.35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 x14ac:dyDescent="0.35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 x14ac:dyDescent="0.35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 x14ac:dyDescent="0.35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 x14ac:dyDescent="0.35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 x14ac:dyDescent="0.35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 x14ac:dyDescent="0.35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 x14ac:dyDescent="0.35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 x14ac:dyDescent="0.35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 x14ac:dyDescent="0.35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 x14ac:dyDescent="0.35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 x14ac:dyDescent="0.35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 x14ac:dyDescent="0.35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 x14ac:dyDescent="0.35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 x14ac:dyDescent="0.35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 x14ac:dyDescent="0.35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 x14ac:dyDescent="0.35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 x14ac:dyDescent="0.35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 x14ac:dyDescent="0.35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 x14ac:dyDescent="0.35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 x14ac:dyDescent="0.35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 x14ac:dyDescent="0.35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 x14ac:dyDescent="0.35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 x14ac:dyDescent="0.35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 x14ac:dyDescent="0.35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 x14ac:dyDescent="0.35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 x14ac:dyDescent="0.35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 x14ac:dyDescent="0.35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 x14ac:dyDescent="0.35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 x14ac:dyDescent="0.35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 x14ac:dyDescent="0.35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 x14ac:dyDescent="0.35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 x14ac:dyDescent="0.35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 x14ac:dyDescent="0.35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 x14ac:dyDescent="0.35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 x14ac:dyDescent="0.35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 x14ac:dyDescent="0.35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 x14ac:dyDescent="0.35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 x14ac:dyDescent="0.35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 x14ac:dyDescent="0.35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 x14ac:dyDescent="0.35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 x14ac:dyDescent="0.35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 x14ac:dyDescent="0.35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 x14ac:dyDescent="0.35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 x14ac:dyDescent="0.35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 x14ac:dyDescent="0.35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 x14ac:dyDescent="0.35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 x14ac:dyDescent="0.35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 x14ac:dyDescent="0.35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 x14ac:dyDescent="0.35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 x14ac:dyDescent="0.35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 x14ac:dyDescent="0.35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 x14ac:dyDescent="0.35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 x14ac:dyDescent="0.35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 x14ac:dyDescent="0.35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 x14ac:dyDescent="0.35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 x14ac:dyDescent="0.35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 x14ac:dyDescent="0.35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 x14ac:dyDescent="0.35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 x14ac:dyDescent="0.35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 x14ac:dyDescent="0.35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 x14ac:dyDescent="0.35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 x14ac:dyDescent="0.35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 x14ac:dyDescent="0.35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 x14ac:dyDescent="0.35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 x14ac:dyDescent="0.35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 x14ac:dyDescent="0.35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 x14ac:dyDescent="0.35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 x14ac:dyDescent="0.35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 x14ac:dyDescent="0.35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 x14ac:dyDescent="0.35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 x14ac:dyDescent="0.35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 x14ac:dyDescent="0.35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 x14ac:dyDescent="0.35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 x14ac:dyDescent="0.35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 x14ac:dyDescent="0.35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 x14ac:dyDescent="0.35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 x14ac:dyDescent="0.35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 x14ac:dyDescent="0.35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 x14ac:dyDescent="0.35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 x14ac:dyDescent="0.35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 x14ac:dyDescent="0.35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 x14ac:dyDescent="0.35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 x14ac:dyDescent="0.35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 x14ac:dyDescent="0.35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 x14ac:dyDescent="0.35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 x14ac:dyDescent="0.35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 x14ac:dyDescent="0.35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 x14ac:dyDescent="0.35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 x14ac:dyDescent="0.35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 x14ac:dyDescent="0.35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 x14ac:dyDescent="0.35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 x14ac:dyDescent="0.35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 x14ac:dyDescent="0.35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 x14ac:dyDescent="0.35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 x14ac:dyDescent="0.35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 x14ac:dyDescent="0.35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 x14ac:dyDescent="0.35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 x14ac:dyDescent="0.35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 x14ac:dyDescent="0.35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 x14ac:dyDescent="0.35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 x14ac:dyDescent="0.35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 x14ac:dyDescent="0.35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 x14ac:dyDescent="0.35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 x14ac:dyDescent="0.35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 x14ac:dyDescent="0.35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 x14ac:dyDescent="0.35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 x14ac:dyDescent="0.35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 x14ac:dyDescent="0.35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 x14ac:dyDescent="0.35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 x14ac:dyDescent="0.35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 x14ac:dyDescent="0.35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 x14ac:dyDescent="0.35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 x14ac:dyDescent="0.35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 x14ac:dyDescent="0.35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 x14ac:dyDescent="0.35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 x14ac:dyDescent="0.35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 x14ac:dyDescent="0.35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 x14ac:dyDescent="0.35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 x14ac:dyDescent="0.35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 x14ac:dyDescent="0.35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 x14ac:dyDescent="0.35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 x14ac:dyDescent="0.35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 x14ac:dyDescent="0.35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 x14ac:dyDescent="0.35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 x14ac:dyDescent="0.35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 x14ac:dyDescent="0.35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 x14ac:dyDescent="0.35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 x14ac:dyDescent="0.35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 x14ac:dyDescent="0.35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 x14ac:dyDescent="0.35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 x14ac:dyDescent="0.35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 x14ac:dyDescent="0.35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 x14ac:dyDescent="0.35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 x14ac:dyDescent="0.35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 x14ac:dyDescent="0.35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 x14ac:dyDescent="0.35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 x14ac:dyDescent="0.35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 x14ac:dyDescent="0.35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 x14ac:dyDescent="0.35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 x14ac:dyDescent="0.35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 x14ac:dyDescent="0.35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 x14ac:dyDescent="0.35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 x14ac:dyDescent="0.35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 x14ac:dyDescent="0.35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 x14ac:dyDescent="0.35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 x14ac:dyDescent="0.35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 x14ac:dyDescent="0.35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 x14ac:dyDescent="0.35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 x14ac:dyDescent="0.35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 x14ac:dyDescent="0.35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 x14ac:dyDescent="0.35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 x14ac:dyDescent="0.35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 x14ac:dyDescent="0.35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 x14ac:dyDescent="0.35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 x14ac:dyDescent="0.35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 x14ac:dyDescent="0.35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 x14ac:dyDescent="0.35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 x14ac:dyDescent="0.35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 x14ac:dyDescent="0.35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 x14ac:dyDescent="0.35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 x14ac:dyDescent="0.35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 x14ac:dyDescent="0.35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 x14ac:dyDescent="0.35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 x14ac:dyDescent="0.35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 x14ac:dyDescent="0.35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 x14ac:dyDescent="0.35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 x14ac:dyDescent="0.35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 x14ac:dyDescent="0.35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 x14ac:dyDescent="0.35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 x14ac:dyDescent="0.35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 x14ac:dyDescent="0.35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 x14ac:dyDescent="0.35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 x14ac:dyDescent="0.35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 x14ac:dyDescent="0.35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 x14ac:dyDescent="0.35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 x14ac:dyDescent="0.35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 x14ac:dyDescent="0.35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 x14ac:dyDescent="0.35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 x14ac:dyDescent="0.35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 x14ac:dyDescent="0.35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 x14ac:dyDescent="0.35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 x14ac:dyDescent="0.35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 x14ac:dyDescent="0.35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 x14ac:dyDescent="0.35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 x14ac:dyDescent="0.35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 x14ac:dyDescent="0.35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 x14ac:dyDescent="0.35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 x14ac:dyDescent="0.35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 x14ac:dyDescent="0.35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 x14ac:dyDescent="0.35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 x14ac:dyDescent="0.35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 x14ac:dyDescent="0.35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 x14ac:dyDescent="0.35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 x14ac:dyDescent="0.35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 x14ac:dyDescent="0.35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 x14ac:dyDescent="0.35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 x14ac:dyDescent="0.35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 x14ac:dyDescent="0.35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 x14ac:dyDescent="0.35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 x14ac:dyDescent="0.35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 x14ac:dyDescent="0.35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 x14ac:dyDescent="0.35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 x14ac:dyDescent="0.35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 x14ac:dyDescent="0.35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 x14ac:dyDescent="0.35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 x14ac:dyDescent="0.35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 x14ac:dyDescent="0.35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 x14ac:dyDescent="0.35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 x14ac:dyDescent="0.35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 x14ac:dyDescent="0.35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 x14ac:dyDescent="0.35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 x14ac:dyDescent="0.35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 x14ac:dyDescent="0.35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 x14ac:dyDescent="0.35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 x14ac:dyDescent="0.35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 x14ac:dyDescent="0.35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 x14ac:dyDescent="0.35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 x14ac:dyDescent="0.35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 x14ac:dyDescent="0.35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 x14ac:dyDescent="0.35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 x14ac:dyDescent="0.35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 x14ac:dyDescent="0.35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 x14ac:dyDescent="0.35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 x14ac:dyDescent="0.35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 x14ac:dyDescent="0.35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 x14ac:dyDescent="0.35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 x14ac:dyDescent="0.35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 x14ac:dyDescent="0.35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 x14ac:dyDescent="0.35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 x14ac:dyDescent="0.35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 x14ac:dyDescent="0.35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 x14ac:dyDescent="0.35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 x14ac:dyDescent="0.35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 x14ac:dyDescent="0.35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 x14ac:dyDescent="0.35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 x14ac:dyDescent="0.35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 x14ac:dyDescent="0.35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 x14ac:dyDescent="0.35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 x14ac:dyDescent="0.35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 x14ac:dyDescent="0.35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 x14ac:dyDescent="0.35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 x14ac:dyDescent="0.35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 x14ac:dyDescent="0.35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 x14ac:dyDescent="0.35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 x14ac:dyDescent="0.35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 x14ac:dyDescent="0.35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 x14ac:dyDescent="0.35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 x14ac:dyDescent="0.35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 x14ac:dyDescent="0.35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 x14ac:dyDescent="0.35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 x14ac:dyDescent="0.35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 x14ac:dyDescent="0.35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 x14ac:dyDescent="0.35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 x14ac:dyDescent="0.35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 x14ac:dyDescent="0.35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 x14ac:dyDescent="0.35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 x14ac:dyDescent="0.35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 x14ac:dyDescent="0.35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 x14ac:dyDescent="0.35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 x14ac:dyDescent="0.35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 x14ac:dyDescent="0.35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 x14ac:dyDescent="0.35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 x14ac:dyDescent="0.35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 x14ac:dyDescent="0.35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 x14ac:dyDescent="0.35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 x14ac:dyDescent="0.35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 x14ac:dyDescent="0.35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 x14ac:dyDescent="0.35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 x14ac:dyDescent="0.35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 x14ac:dyDescent="0.35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 x14ac:dyDescent="0.35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 x14ac:dyDescent="0.35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 x14ac:dyDescent="0.35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 x14ac:dyDescent="0.35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 x14ac:dyDescent="0.35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 x14ac:dyDescent="0.35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 x14ac:dyDescent="0.35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 x14ac:dyDescent="0.35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 x14ac:dyDescent="0.35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 x14ac:dyDescent="0.35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 x14ac:dyDescent="0.35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 x14ac:dyDescent="0.35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 x14ac:dyDescent="0.35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 x14ac:dyDescent="0.35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 x14ac:dyDescent="0.35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 x14ac:dyDescent="0.35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 x14ac:dyDescent="0.35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 x14ac:dyDescent="0.35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 x14ac:dyDescent="0.35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 x14ac:dyDescent="0.35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 x14ac:dyDescent="0.35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 x14ac:dyDescent="0.35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 x14ac:dyDescent="0.35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 x14ac:dyDescent="0.35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 x14ac:dyDescent="0.35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 x14ac:dyDescent="0.35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 x14ac:dyDescent="0.35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 x14ac:dyDescent="0.35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 x14ac:dyDescent="0.35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 x14ac:dyDescent="0.35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 x14ac:dyDescent="0.35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 x14ac:dyDescent="0.35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 x14ac:dyDescent="0.35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 x14ac:dyDescent="0.35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 x14ac:dyDescent="0.35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 x14ac:dyDescent="0.35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 x14ac:dyDescent="0.35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 x14ac:dyDescent="0.35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 x14ac:dyDescent="0.35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 x14ac:dyDescent="0.35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 x14ac:dyDescent="0.35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 x14ac:dyDescent="0.35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 x14ac:dyDescent="0.35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 x14ac:dyDescent="0.35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 x14ac:dyDescent="0.35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 x14ac:dyDescent="0.35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 x14ac:dyDescent="0.35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 x14ac:dyDescent="0.35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 x14ac:dyDescent="0.35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 x14ac:dyDescent="0.35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 x14ac:dyDescent="0.35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 x14ac:dyDescent="0.35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 x14ac:dyDescent="0.35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 x14ac:dyDescent="0.35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 x14ac:dyDescent="0.35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 x14ac:dyDescent="0.35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 x14ac:dyDescent="0.35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 x14ac:dyDescent="0.35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 x14ac:dyDescent="0.35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 x14ac:dyDescent="0.35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 x14ac:dyDescent="0.35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 x14ac:dyDescent="0.35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 x14ac:dyDescent="0.35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 x14ac:dyDescent="0.35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 x14ac:dyDescent="0.35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 x14ac:dyDescent="0.35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 x14ac:dyDescent="0.35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 x14ac:dyDescent="0.35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 x14ac:dyDescent="0.35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 x14ac:dyDescent="0.35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 x14ac:dyDescent="0.35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 x14ac:dyDescent="0.35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 x14ac:dyDescent="0.35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 x14ac:dyDescent="0.35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 x14ac:dyDescent="0.35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 x14ac:dyDescent="0.35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 x14ac:dyDescent="0.35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 x14ac:dyDescent="0.35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 x14ac:dyDescent="0.35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 x14ac:dyDescent="0.35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 x14ac:dyDescent="0.35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 x14ac:dyDescent="0.35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 x14ac:dyDescent="0.35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 x14ac:dyDescent="0.35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 x14ac:dyDescent="0.35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 x14ac:dyDescent="0.35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 x14ac:dyDescent="0.35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 x14ac:dyDescent="0.35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 x14ac:dyDescent="0.35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 x14ac:dyDescent="0.35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 x14ac:dyDescent="0.35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 x14ac:dyDescent="0.35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 x14ac:dyDescent="0.35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 x14ac:dyDescent="0.35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 x14ac:dyDescent="0.35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 x14ac:dyDescent="0.35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 x14ac:dyDescent="0.35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 x14ac:dyDescent="0.35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 x14ac:dyDescent="0.35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 x14ac:dyDescent="0.35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 x14ac:dyDescent="0.35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 x14ac:dyDescent="0.35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 x14ac:dyDescent="0.35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 x14ac:dyDescent="0.35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 x14ac:dyDescent="0.35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 x14ac:dyDescent="0.35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 x14ac:dyDescent="0.35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 x14ac:dyDescent="0.35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 x14ac:dyDescent="0.35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 x14ac:dyDescent="0.35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 x14ac:dyDescent="0.35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 x14ac:dyDescent="0.35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 x14ac:dyDescent="0.35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 x14ac:dyDescent="0.35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 x14ac:dyDescent="0.35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 x14ac:dyDescent="0.35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 x14ac:dyDescent="0.35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 x14ac:dyDescent="0.35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 x14ac:dyDescent="0.35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 x14ac:dyDescent="0.35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 x14ac:dyDescent="0.35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 x14ac:dyDescent="0.35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 x14ac:dyDescent="0.35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 x14ac:dyDescent="0.35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 x14ac:dyDescent="0.35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 x14ac:dyDescent="0.35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 x14ac:dyDescent="0.35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 x14ac:dyDescent="0.35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 x14ac:dyDescent="0.35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 x14ac:dyDescent="0.35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 x14ac:dyDescent="0.35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 x14ac:dyDescent="0.35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 x14ac:dyDescent="0.35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 x14ac:dyDescent="0.35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 x14ac:dyDescent="0.35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 x14ac:dyDescent="0.35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 x14ac:dyDescent="0.35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 x14ac:dyDescent="0.35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 x14ac:dyDescent="0.35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 x14ac:dyDescent="0.35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 x14ac:dyDescent="0.35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 x14ac:dyDescent="0.35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 x14ac:dyDescent="0.35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 x14ac:dyDescent="0.35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 x14ac:dyDescent="0.35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 x14ac:dyDescent="0.35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 x14ac:dyDescent="0.35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 x14ac:dyDescent="0.35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 x14ac:dyDescent="0.35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 x14ac:dyDescent="0.35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 x14ac:dyDescent="0.35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 x14ac:dyDescent="0.35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 x14ac:dyDescent="0.35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 x14ac:dyDescent="0.35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 x14ac:dyDescent="0.35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 x14ac:dyDescent="0.35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 x14ac:dyDescent="0.35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 x14ac:dyDescent="0.35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 x14ac:dyDescent="0.35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 x14ac:dyDescent="0.35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 x14ac:dyDescent="0.35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 x14ac:dyDescent="0.35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 x14ac:dyDescent="0.35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 x14ac:dyDescent="0.35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 x14ac:dyDescent="0.35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 x14ac:dyDescent="0.35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 x14ac:dyDescent="0.35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 x14ac:dyDescent="0.35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 x14ac:dyDescent="0.35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 x14ac:dyDescent="0.35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 x14ac:dyDescent="0.35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 x14ac:dyDescent="0.35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 x14ac:dyDescent="0.35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 x14ac:dyDescent="0.35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 x14ac:dyDescent="0.35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 x14ac:dyDescent="0.35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 x14ac:dyDescent="0.35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 x14ac:dyDescent="0.35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 x14ac:dyDescent="0.35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 x14ac:dyDescent="0.35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 x14ac:dyDescent="0.35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 x14ac:dyDescent="0.35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 x14ac:dyDescent="0.35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 x14ac:dyDescent="0.35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 x14ac:dyDescent="0.35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 x14ac:dyDescent="0.35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 x14ac:dyDescent="0.35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 x14ac:dyDescent="0.35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 x14ac:dyDescent="0.35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 x14ac:dyDescent="0.35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 x14ac:dyDescent="0.35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 x14ac:dyDescent="0.35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 x14ac:dyDescent="0.35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 x14ac:dyDescent="0.35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 x14ac:dyDescent="0.35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 x14ac:dyDescent="0.35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 x14ac:dyDescent="0.35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 x14ac:dyDescent="0.35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 x14ac:dyDescent="0.35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 x14ac:dyDescent="0.35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 x14ac:dyDescent="0.35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 x14ac:dyDescent="0.35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 x14ac:dyDescent="0.35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 x14ac:dyDescent="0.35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 x14ac:dyDescent="0.35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 x14ac:dyDescent="0.35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 x14ac:dyDescent="0.35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 x14ac:dyDescent="0.35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 x14ac:dyDescent="0.35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 x14ac:dyDescent="0.35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 x14ac:dyDescent="0.35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 x14ac:dyDescent="0.35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 x14ac:dyDescent="0.35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 x14ac:dyDescent="0.35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 x14ac:dyDescent="0.35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 x14ac:dyDescent="0.35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 x14ac:dyDescent="0.35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 x14ac:dyDescent="0.35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 x14ac:dyDescent="0.35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 x14ac:dyDescent="0.35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 x14ac:dyDescent="0.35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 x14ac:dyDescent="0.35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 x14ac:dyDescent="0.35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 x14ac:dyDescent="0.35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 x14ac:dyDescent="0.35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 x14ac:dyDescent="0.35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 x14ac:dyDescent="0.35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 x14ac:dyDescent="0.35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 x14ac:dyDescent="0.35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 x14ac:dyDescent="0.35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 x14ac:dyDescent="0.35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 x14ac:dyDescent="0.35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 x14ac:dyDescent="0.35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 x14ac:dyDescent="0.35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 x14ac:dyDescent="0.35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 x14ac:dyDescent="0.35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 x14ac:dyDescent="0.35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 x14ac:dyDescent="0.35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 x14ac:dyDescent="0.35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 x14ac:dyDescent="0.35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 x14ac:dyDescent="0.35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 x14ac:dyDescent="0.35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 x14ac:dyDescent="0.35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 x14ac:dyDescent="0.35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 x14ac:dyDescent="0.35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 x14ac:dyDescent="0.35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 x14ac:dyDescent="0.35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 x14ac:dyDescent="0.35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 x14ac:dyDescent="0.35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 x14ac:dyDescent="0.35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 x14ac:dyDescent="0.35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 x14ac:dyDescent="0.35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 x14ac:dyDescent="0.35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 x14ac:dyDescent="0.35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 x14ac:dyDescent="0.35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 x14ac:dyDescent="0.35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 x14ac:dyDescent="0.35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 x14ac:dyDescent="0.35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 x14ac:dyDescent="0.35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 x14ac:dyDescent="0.35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 x14ac:dyDescent="0.35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 x14ac:dyDescent="0.35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 x14ac:dyDescent="0.35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 x14ac:dyDescent="0.35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 x14ac:dyDescent="0.35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 x14ac:dyDescent="0.35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 x14ac:dyDescent="0.35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 x14ac:dyDescent="0.35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 x14ac:dyDescent="0.35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 x14ac:dyDescent="0.35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 x14ac:dyDescent="0.35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 x14ac:dyDescent="0.35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 x14ac:dyDescent="0.35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 x14ac:dyDescent="0.35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 x14ac:dyDescent="0.35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 x14ac:dyDescent="0.35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 x14ac:dyDescent="0.35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 x14ac:dyDescent="0.35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 x14ac:dyDescent="0.35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 x14ac:dyDescent="0.35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 x14ac:dyDescent="0.35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 x14ac:dyDescent="0.35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 x14ac:dyDescent="0.35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 x14ac:dyDescent="0.35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 x14ac:dyDescent="0.35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 x14ac:dyDescent="0.35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 x14ac:dyDescent="0.35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 x14ac:dyDescent="0.35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 x14ac:dyDescent="0.35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 x14ac:dyDescent="0.35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 x14ac:dyDescent="0.35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 x14ac:dyDescent="0.35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 x14ac:dyDescent="0.35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 x14ac:dyDescent="0.35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 x14ac:dyDescent="0.35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 x14ac:dyDescent="0.35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 x14ac:dyDescent="0.35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 x14ac:dyDescent="0.35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 x14ac:dyDescent="0.35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 x14ac:dyDescent="0.35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 x14ac:dyDescent="0.35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 x14ac:dyDescent="0.35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 x14ac:dyDescent="0.35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 x14ac:dyDescent="0.35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 x14ac:dyDescent="0.35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 x14ac:dyDescent="0.35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 x14ac:dyDescent="0.35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 x14ac:dyDescent="0.35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 x14ac:dyDescent="0.35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 x14ac:dyDescent="0.35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 x14ac:dyDescent="0.35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 x14ac:dyDescent="0.35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 x14ac:dyDescent="0.35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 x14ac:dyDescent="0.35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 x14ac:dyDescent="0.35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 x14ac:dyDescent="0.35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 x14ac:dyDescent="0.35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 x14ac:dyDescent="0.35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 x14ac:dyDescent="0.35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 x14ac:dyDescent="0.35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 x14ac:dyDescent="0.35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 x14ac:dyDescent="0.35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 x14ac:dyDescent="0.35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 x14ac:dyDescent="0.35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 x14ac:dyDescent="0.35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 x14ac:dyDescent="0.35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 x14ac:dyDescent="0.35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 x14ac:dyDescent="0.35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 x14ac:dyDescent="0.35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 x14ac:dyDescent="0.35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 x14ac:dyDescent="0.35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 x14ac:dyDescent="0.35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 x14ac:dyDescent="0.35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 x14ac:dyDescent="0.35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 x14ac:dyDescent="0.35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 x14ac:dyDescent="0.35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 x14ac:dyDescent="0.35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 x14ac:dyDescent="0.35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 x14ac:dyDescent="0.35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 x14ac:dyDescent="0.35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 x14ac:dyDescent="0.35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 x14ac:dyDescent="0.35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 x14ac:dyDescent="0.35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 x14ac:dyDescent="0.35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 x14ac:dyDescent="0.35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 x14ac:dyDescent="0.35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 x14ac:dyDescent="0.35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 x14ac:dyDescent="0.35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 x14ac:dyDescent="0.35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 x14ac:dyDescent="0.35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 x14ac:dyDescent="0.35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 x14ac:dyDescent="0.35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 x14ac:dyDescent="0.35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 x14ac:dyDescent="0.35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 x14ac:dyDescent="0.35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 x14ac:dyDescent="0.35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 x14ac:dyDescent="0.35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 x14ac:dyDescent="0.35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 x14ac:dyDescent="0.35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 x14ac:dyDescent="0.35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 x14ac:dyDescent="0.35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 x14ac:dyDescent="0.35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 x14ac:dyDescent="0.35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 x14ac:dyDescent="0.35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 x14ac:dyDescent="0.35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 x14ac:dyDescent="0.35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 x14ac:dyDescent="0.35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 x14ac:dyDescent="0.35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 x14ac:dyDescent="0.35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 x14ac:dyDescent="0.35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 x14ac:dyDescent="0.35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 x14ac:dyDescent="0.35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 x14ac:dyDescent="0.35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 x14ac:dyDescent="0.35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 x14ac:dyDescent="0.35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 x14ac:dyDescent="0.35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 x14ac:dyDescent="0.35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 x14ac:dyDescent="0.35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 x14ac:dyDescent="0.35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 x14ac:dyDescent="0.35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 x14ac:dyDescent="0.35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 x14ac:dyDescent="0.35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 x14ac:dyDescent="0.35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 x14ac:dyDescent="0.35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 x14ac:dyDescent="0.35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 x14ac:dyDescent="0.35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 x14ac:dyDescent="0.35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 x14ac:dyDescent="0.35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 x14ac:dyDescent="0.35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 x14ac:dyDescent="0.35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 x14ac:dyDescent="0.35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 x14ac:dyDescent="0.35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 x14ac:dyDescent="0.35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 x14ac:dyDescent="0.35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 x14ac:dyDescent="0.35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 x14ac:dyDescent="0.35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 x14ac:dyDescent="0.35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 x14ac:dyDescent="0.35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 x14ac:dyDescent="0.35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 x14ac:dyDescent="0.35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 x14ac:dyDescent="0.35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 x14ac:dyDescent="0.35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 x14ac:dyDescent="0.35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 x14ac:dyDescent="0.35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 x14ac:dyDescent="0.35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 x14ac:dyDescent="0.35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 x14ac:dyDescent="0.35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 x14ac:dyDescent="0.35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 x14ac:dyDescent="0.35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 x14ac:dyDescent="0.35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 x14ac:dyDescent="0.35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 x14ac:dyDescent="0.35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 x14ac:dyDescent="0.35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 x14ac:dyDescent="0.35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 x14ac:dyDescent="0.35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 x14ac:dyDescent="0.35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 x14ac:dyDescent="0.35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 x14ac:dyDescent="0.35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 x14ac:dyDescent="0.35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 x14ac:dyDescent="0.35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 x14ac:dyDescent="0.35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 x14ac:dyDescent="0.35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 x14ac:dyDescent="0.35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 x14ac:dyDescent="0.35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 x14ac:dyDescent="0.35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 x14ac:dyDescent="0.35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 x14ac:dyDescent="0.35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 x14ac:dyDescent="0.35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 x14ac:dyDescent="0.35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 x14ac:dyDescent="0.35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 x14ac:dyDescent="0.35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 x14ac:dyDescent="0.35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 x14ac:dyDescent="0.35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 x14ac:dyDescent="0.35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 x14ac:dyDescent="0.35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 x14ac:dyDescent="0.35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 x14ac:dyDescent="0.35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 x14ac:dyDescent="0.35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 x14ac:dyDescent="0.35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 x14ac:dyDescent="0.35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 x14ac:dyDescent="0.35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 x14ac:dyDescent="0.35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 x14ac:dyDescent="0.35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 x14ac:dyDescent="0.35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 x14ac:dyDescent="0.35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 x14ac:dyDescent="0.35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 x14ac:dyDescent="0.35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 x14ac:dyDescent="0.35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 x14ac:dyDescent="0.35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 x14ac:dyDescent="0.35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 x14ac:dyDescent="0.35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 x14ac:dyDescent="0.35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 x14ac:dyDescent="0.35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 x14ac:dyDescent="0.35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 x14ac:dyDescent="0.35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 x14ac:dyDescent="0.35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 x14ac:dyDescent="0.35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 x14ac:dyDescent="0.35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 x14ac:dyDescent="0.35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 x14ac:dyDescent="0.35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 x14ac:dyDescent="0.35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 x14ac:dyDescent="0.35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 x14ac:dyDescent="0.35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 x14ac:dyDescent="0.35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 x14ac:dyDescent="0.35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 x14ac:dyDescent="0.35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 x14ac:dyDescent="0.35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 x14ac:dyDescent="0.35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 x14ac:dyDescent="0.35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 x14ac:dyDescent="0.35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 x14ac:dyDescent="0.35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 x14ac:dyDescent="0.35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 x14ac:dyDescent="0.35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 x14ac:dyDescent="0.35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 x14ac:dyDescent="0.35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 x14ac:dyDescent="0.35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 x14ac:dyDescent="0.35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 x14ac:dyDescent="0.35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 x14ac:dyDescent="0.35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 x14ac:dyDescent="0.35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 x14ac:dyDescent="0.35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 x14ac:dyDescent="0.35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 x14ac:dyDescent="0.35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 x14ac:dyDescent="0.35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 x14ac:dyDescent="0.35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 x14ac:dyDescent="0.35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 x14ac:dyDescent="0.35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 x14ac:dyDescent="0.35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 x14ac:dyDescent="0.35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 x14ac:dyDescent="0.35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 x14ac:dyDescent="0.35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 x14ac:dyDescent="0.35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 x14ac:dyDescent="0.35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 x14ac:dyDescent="0.35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 x14ac:dyDescent="0.35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 x14ac:dyDescent="0.35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 x14ac:dyDescent="0.35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 x14ac:dyDescent="0.35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 x14ac:dyDescent="0.35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 x14ac:dyDescent="0.35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 x14ac:dyDescent="0.35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 x14ac:dyDescent="0.35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 x14ac:dyDescent="0.35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 x14ac:dyDescent="0.35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 x14ac:dyDescent="0.35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 x14ac:dyDescent="0.35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 x14ac:dyDescent="0.35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 x14ac:dyDescent="0.35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 x14ac:dyDescent="0.35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 x14ac:dyDescent="0.35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 x14ac:dyDescent="0.35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 x14ac:dyDescent="0.35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 x14ac:dyDescent="0.35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 x14ac:dyDescent="0.35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 x14ac:dyDescent="0.35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 x14ac:dyDescent="0.35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 x14ac:dyDescent="0.35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 x14ac:dyDescent="0.35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 x14ac:dyDescent="0.35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 x14ac:dyDescent="0.35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 x14ac:dyDescent="0.35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 x14ac:dyDescent="0.35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 x14ac:dyDescent="0.35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 x14ac:dyDescent="0.35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 x14ac:dyDescent="0.35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 x14ac:dyDescent="0.35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 x14ac:dyDescent="0.35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 x14ac:dyDescent="0.35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 x14ac:dyDescent="0.35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 x14ac:dyDescent="0.35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 x14ac:dyDescent="0.35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 x14ac:dyDescent="0.35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 x14ac:dyDescent="0.35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 x14ac:dyDescent="0.35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 x14ac:dyDescent="0.35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 x14ac:dyDescent="0.35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 x14ac:dyDescent="0.35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 x14ac:dyDescent="0.35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 x14ac:dyDescent="0.35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 x14ac:dyDescent="0.35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 x14ac:dyDescent="0.35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 x14ac:dyDescent="0.35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 x14ac:dyDescent="0.35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 x14ac:dyDescent="0.35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 x14ac:dyDescent="0.35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 x14ac:dyDescent="0.35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 x14ac:dyDescent="0.35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 x14ac:dyDescent="0.35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 x14ac:dyDescent="0.35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 x14ac:dyDescent="0.35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 x14ac:dyDescent="0.35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 x14ac:dyDescent="0.35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 x14ac:dyDescent="0.35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 x14ac:dyDescent="0.35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 x14ac:dyDescent="0.35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 x14ac:dyDescent="0.35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 x14ac:dyDescent="0.35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 x14ac:dyDescent="0.35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 x14ac:dyDescent="0.35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 x14ac:dyDescent="0.35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 x14ac:dyDescent="0.35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 x14ac:dyDescent="0.35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 x14ac:dyDescent="0.35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 x14ac:dyDescent="0.35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 x14ac:dyDescent="0.35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 x14ac:dyDescent="0.35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 x14ac:dyDescent="0.35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 x14ac:dyDescent="0.35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 x14ac:dyDescent="0.35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 x14ac:dyDescent="0.35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 x14ac:dyDescent="0.35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 x14ac:dyDescent="0.35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 x14ac:dyDescent="0.35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 x14ac:dyDescent="0.35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 x14ac:dyDescent="0.35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 x14ac:dyDescent="0.35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 x14ac:dyDescent="0.35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 x14ac:dyDescent="0.35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 x14ac:dyDescent="0.35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 x14ac:dyDescent="0.35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 x14ac:dyDescent="0.35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 x14ac:dyDescent="0.35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 x14ac:dyDescent="0.35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 x14ac:dyDescent="0.35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 x14ac:dyDescent="0.35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 x14ac:dyDescent="0.35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 x14ac:dyDescent="0.35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 x14ac:dyDescent="0.35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 x14ac:dyDescent="0.35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 x14ac:dyDescent="0.35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 x14ac:dyDescent="0.35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 x14ac:dyDescent="0.35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 x14ac:dyDescent="0.35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 x14ac:dyDescent="0.35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 x14ac:dyDescent="0.35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 x14ac:dyDescent="0.35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 x14ac:dyDescent="0.35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 x14ac:dyDescent="0.35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 x14ac:dyDescent="0.35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 x14ac:dyDescent="0.35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 x14ac:dyDescent="0.35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 x14ac:dyDescent="0.35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 x14ac:dyDescent="0.35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 x14ac:dyDescent="0.35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 x14ac:dyDescent="0.35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 x14ac:dyDescent="0.35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 x14ac:dyDescent="0.35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 x14ac:dyDescent="0.35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 x14ac:dyDescent="0.35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 x14ac:dyDescent="0.35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 x14ac:dyDescent="0.35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 x14ac:dyDescent="0.35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 x14ac:dyDescent="0.35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 x14ac:dyDescent="0.35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 x14ac:dyDescent="0.35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 x14ac:dyDescent="0.35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 x14ac:dyDescent="0.35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 x14ac:dyDescent="0.35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 x14ac:dyDescent="0.35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 x14ac:dyDescent="0.35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 x14ac:dyDescent="0.35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 x14ac:dyDescent="0.35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 x14ac:dyDescent="0.35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 x14ac:dyDescent="0.35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 x14ac:dyDescent="0.35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 x14ac:dyDescent="0.35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 x14ac:dyDescent="0.35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 x14ac:dyDescent="0.35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 x14ac:dyDescent="0.35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 x14ac:dyDescent="0.35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 x14ac:dyDescent="0.35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 x14ac:dyDescent="0.35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 x14ac:dyDescent="0.35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 x14ac:dyDescent="0.35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 x14ac:dyDescent="0.35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 x14ac:dyDescent="0.35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 x14ac:dyDescent="0.35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 x14ac:dyDescent="0.35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 x14ac:dyDescent="0.35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 x14ac:dyDescent="0.35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U3333" s="1" t="s">
        <v>24</v>
      </c>
    </row>
    <row r="3334" spans="1:21" x14ac:dyDescent="0.35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 x14ac:dyDescent="0.35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 x14ac:dyDescent="0.35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 x14ac:dyDescent="0.35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 x14ac:dyDescent="0.35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 x14ac:dyDescent="0.35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 x14ac:dyDescent="0.35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 x14ac:dyDescent="0.35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 x14ac:dyDescent="0.35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 x14ac:dyDescent="0.35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 x14ac:dyDescent="0.35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 x14ac:dyDescent="0.35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 x14ac:dyDescent="0.35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 x14ac:dyDescent="0.35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 x14ac:dyDescent="0.35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 x14ac:dyDescent="0.35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 x14ac:dyDescent="0.35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 x14ac:dyDescent="0.35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 x14ac:dyDescent="0.35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 x14ac:dyDescent="0.35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 x14ac:dyDescent="0.35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 x14ac:dyDescent="0.35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 x14ac:dyDescent="0.35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 x14ac:dyDescent="0.35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 x14ac:dyDescent="0.35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 x14ac:dyDescent="0.35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 x14ac:dyDescent="0.35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 x14ac:dyDescent="0.35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 x14ac:dyDescent="0.35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 x14ac:dyDescent="0.35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 x14ac:dyDescent="0.35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 x14ac:dyDescent="0.35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 x14ac:dyDescent="0.35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 x14ac:dyDescent="0.35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 x14ac:dyDescent="0.35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 x14ac:dyDescent="0.35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 x14ac:dyDescent="0.35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 x14ac:dyDescent="0.35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 x14ac:dyDescent="0.35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 x14ac:dyDescent="0.35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 x14ac:dyDescent="0.35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 x14ac:dyDescent="0.35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 x14ac:dyDescent="0.35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 x14ac:dyDescent="0.35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 x14ac:dyDescent="0.35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 x14ac:dyDescent="0.35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 x14ac:dyDescent="0.35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 x14ac:dyDescent="0.35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 x14ac:dyDescent="0.35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 x14ac:dyDescent="0.35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 x14ac:dyDescent="0.35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 x14ac:dyDescent="0.35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 x14ac:dyDescent="0.35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 x14ac:dyDescent="0.35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 x14ac:dyDescent="0.35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 x14ac:dyDescent="0.35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 x14ac:dyDescent="0.35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 x14ac:dyDescent="0.35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 x14ac:dyDescent="0.35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 x14ac:dyDescent="0.35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 x14ac:dyDescent="0.35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 x14ac:dyDescent="0.35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 x14ac:dyDescent="0.35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 x14ac:dyDescent="0.35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 x14ac:dyDescent="0.35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 x14ac:dyDescent="0.35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 x14ac:dyDescent="0.35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 x14ac:dyDescent="0.35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 x14ac:dyDescent="0.35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 x14ac:dyDescent="0.35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 x14ac:dyDescent="0.35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 x14ac:dyDescent="0.35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 x14ac:dyDescent="0.35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 x14ac:dyDescent="0.35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 x14ac:dyDescent="0.35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 x14ac:dyDescent="0.35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 x14ac:dyDescent="0.35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 x14ac:dyDescent="0.35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 x14ac:dyDescent="0.35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 x14ac:dyDescent="0.35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 x14ac:dyDescent="0.35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 x14ac:dyDescent="0.35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 x14ac:dyDescent="0.35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 x14ac:dyDescent="0.35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 x14ac:dyDescent="0.35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 x14ac:dyDescent="0.35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 x14ac:dyDescent="0.35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 x14ac:dyDescent="0.35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 x14ac:dyDescent="0.35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 x14ac:dyDescent="0.35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 x14ac:dyDescent="0.35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 x14ac:dyDescent="0.35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 x14ac:dyDescent="0.35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 x14ac:dyDescent="0.35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 x14ac:dyDescent="0.35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 x14ac:dyDescent="0.35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 x14ac:dyDescent="0.35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 x14ac:dyDescent="0.35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 x14ac:dyDescent="0.35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 x14ac:dyDescent="0.35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 x14ac:dyDescent="0.35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 x14ac:dyDescent="0.35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 x14ac:dyDescent="0.35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 x14ac:dyDescent="0.35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 x14ac:dyDescent="0.35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 x14ac:dyDescent="0.35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 x14ac:dyDescent="0.35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 x14ac:dyDescent="0.35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 x14ac:dyDescent="0.35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 x14ac:dyDescent="0.35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 x14ac:dyDescent="0.35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 x14ac:dyDescent="0.35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 x14ac:dyDescent="0.35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 x14ac:dyDescent="0.35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 x14ac:dyDescent="0.35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 x14ac:dyDescent="0.35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 x14ac:dyDescent="0.35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 x14ac:dyDescent="0.35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 x14ac:dyDescent="0.35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 x14ac:dyDescent="0.35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 x14ac:dyDescent="0.35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 x14ac:dyDescent="0.35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 x14ac:dyDescent="0.35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 x14ac:dyDescent="0.35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 x14ac:dyDescent="0.35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 x14ac:dyDescent="0.35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 x14ac:dyDescent="0.35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 x14ac:dyDescent="0.35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 x14ac:dyDescent="0.35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 x14ac:dyDescent="0.35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 x14ac:dyDescent="0.35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 x14ac:dyDescent="0.35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 x14ac:dyDescent="0.35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 x14ac:dyDescent="0.35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 x14ac:dyDescent="0.35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 x14ac:dyDescent="0.35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 x14ac:dyDescent="0.35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 x14ac:dyDescent="0.35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 x14ac:dyDescent="0.35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 x14ac:dyDescent="0.35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 x14ac:dyDescent="0.35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 x14ac:dyDescent="0.35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 x14ac:dyDescent="0.35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 x14ac:dyDescent="0.35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 x14ac:dyDescent="0.35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 x14ac:dyDescent="0.35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 x14ac:dyDescent="0.35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 x14ac:dyDescent="0.35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 x14ac:dyDescent="0.35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 x14ac:dyDescent="0.35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 x14ac:dyDescent="0.35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 x14ac:dyDescent="0.35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 x14ac:dyDescent="0.35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 x14ac:dyDescent="0.35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 x14ac:dyDescent="0.35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 x14ac:dyDescent="0.35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 x14ac:dyDescent="0.35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 x14ac:dyDescent="0.35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 x14ac:dyDescent="0.35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 x14ac:dyDescent="0.35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 x14ac:dyDescent="0.35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 x14ac:dyDescent="0.35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 x14ac:dyDescent="0.35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 x14ac:dyDescent="0.35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 x14ac:dyDescent="0.35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 x14ac:dyDescent="0.35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 x14ac:dyDescent="0.35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 x14ac:dyDescent="0.35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 x14ac:dyDescent="0.35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 x14ac:dyDescent="0.35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 x14ac:dyDescent="0.35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 x14ac:dyDescent="0.35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 x14ac:dyDescent="0.35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 x14ac:dyDescent="0.35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 x14ac:dyDescent="0.35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 x14ac:dyDescent="0.35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 x14ac:dyDescent="0.35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 x14ac:dyDescent="0.35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 x14ac:dyDescent="0.35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 x14ac:dyDescent="0.35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 x14ac:dyDescent="0.35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 x14ac:dyDescent="0.35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 x14ac:dyDescent="0.35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 x14ac:dyDescent="0.35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 x14ac:dyDescent="0.35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 x14ac:dyDescent="0.35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 x14ac:dyDescent="0.35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 x14ac:dyDescent="0.35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 x14ac:dyDescent="0.35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 x14ac:dyDescent="0.35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 x14ac:dyDescent="0.35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 x14ac:dyDescent="0.35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 x14ac:dyDescent="0.35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 x14ac:dyDescent="0.35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 x14ac:dyDescent="0.35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 x14ac:dyDescent="0.35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 x14ac:dyDescent="0.35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 x14ac:dyDescent="0.35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 x14ac:dyDescent="0.35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 x14ac:dyDescent="0.35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 x14ac:dyDescent="0.35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 x14ac:dyDescent="0.35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 x14ac:dyDescent="0.35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 x14ac:dyDescent="0.35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 x14ac:dyDescent="0.35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 x14ac:dyDescent="0.35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 x14ac:dyDescent="0.35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 x14ac:dyDescent="0.35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 x14ac:dyDescent="0.35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 x14ac:dyDescent="0.35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 x14ac:dyDescent="0.35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 x14ac:dyDescent="0.35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 x14ac:dyDescent="0.35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 x14ac:dyDescent="0.35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 x14ac:dyDescent="0.35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 x14ac:dyDescent="0.35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 x14ac:dyDescent="0.35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 x14ac:dyDescent="0.35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 x14ac:dyDescent="0.35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 x14ac:dyDescent="0.35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 x14ac:dyDescent="0.35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 x14ac:dyDescent="0.35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 x14ac:dyDescent="0.35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 x14ac:dyDescent="0.35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 x14ac:dyDescent="0.35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 x14ac:dyDescent="0.35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 x14ac:dyDescent="0.35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 x14ac:dyDescent="0.35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 x14ac:dyDescent="0.35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 x14ac:dyDescent="0.35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 x14ac:dyDescent="0.35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 x14ac:dyDescent="0.35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 x14ac:dyDescent="0.35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 x14ac:dyDescent="0.35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 x14ac:dyDescent="0.35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 x14ac:dyDescent="0.35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 x14ac:dyDescent="0.35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 x14ac:dyDescent="0.35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 x14ac:dyDescent="0.35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 x14ac:dyDescent="0.35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 x14ac:dyDescent="0.35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 x14ac:dyDescent="0.35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 x14ac:dyDescent="0.35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 x14ac:dyDescent="0.35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 x14ac:dyDescent="0.35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 x14ac:dyDescent="0.35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 x14ac:dyDescent="0.35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 x14ac:dyDescent="0.35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 x14ac:dyDescent="0.35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 x14ac:dyDescent="0.35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 x14ac:dyDescent="0.35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 x14ac:dyDescent="0.35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 x14ac:dyDescent="0.35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 x14ac:dyDescent="0.35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 x14ac:dyDescent="0.35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 x14ac:dyDescent="0.35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 x14ac:dyDescent="0.35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 x14ac:dyDescent="0.35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 x14ac:dyDescent="0.35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 x14ac:dyDescent="0.35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 x14ac:dyDescent="0.35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 x14ac:dyDescent="0.35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 x14ac:dyDescent="0.35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 x14ac:dyDescent="0.35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 x14ac:dyDescent="0.35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 x14ac:dyDescent="0.35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 x14ac:dyDescent="0.35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 x14ac:dyDescent="0.35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 x14ac:dyDescent="0.35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 x14ac:dyDescent="0.35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 x14ac:dyDescent="0.35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 x14ac:dyDescent="0.35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 x14ac:dyDescent="0.35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 x14ac:dyDescent="0.35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 x14ac:dyDescent="0.35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 x14ac:dyDescent="0.35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 x14ac:dyDescent="0.35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 x14ac:dyDescent="0.35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 x14ac:dyDescent="0.35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 x14ac:dyDescent="0.35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 x14ac:dyDescent="0.35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 x14ac:dyDescent="0.35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 x14ac:dyDescent="0.35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 x14ac:dyDescent="0.35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 x14ac:dyDescent="0.35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 x14ac:dyDescent="0.35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 x14ac:dyDescent="0.35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 x14ac:dyDescent="0.35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 x14ac:dyDescent="0.35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 x14ac:dyDescent="0.35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 x14ac:dyDescent="0.35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 x14ac:dyDescent="0.35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 x14ac:dyDescent="0.35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 x14ac:dyDescent="0.35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 x14ac:dyDescent="0.35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 x14ac:dyDescent="0.35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 x14ac:dyDescent="0.35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 x14ac:dyDescent="0.35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 x14ac:dyDescent="0.35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 x14ac:dyDescent="0.35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 x14ac:dyDescent="0.35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 x14ac:dyDescent="0.35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 x14ac:dyDescent="0.35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 x14ac:dyDescent="0.35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 x14ac:dyDescent="0.35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 x14ac:dyDescent="0.35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 x14ac:dyDescent="0.35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 x14ac:dyDescent="0.35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 x14ac:dyDescent="0.35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 x14ac:dyDescent="0.35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 x14ac:dyDescent="0.35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 x14ac:dyDescent="0.35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 x14ac:dyDescent="0.35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 x14ac:dyDescent="0.35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 x14ac:dyDescent="0.35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 x14ac:dyDescent="0.35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 x14ac:dyDescent="0.35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 x14ac:dyDescent="0.35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 x14ac:dyDescent="0.35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 x14ac:dyDescent="0.35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 x14ac:dyDescent="0.35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 x14ac:dyDescent="0.35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 x14ac:dyDescent="0.35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 x14ac:dyDescent="0.35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 x14ac:dyDescent="0.35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 x14ac:dyDescent="0.35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 x14ac:dyDescent="0.35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 x14ac:dyDescent="0.35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 x14ac:dyDescent="0.35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 x14ac:dyDescent="0.35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 x14ac:dyDescent="0.35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 x14ac:dyDescent="0.35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 x14ac:dyDescent="0.35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 x14ac:dyDescent="0.35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 x14ac:dyDescent="0.35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 x14ac:dyDescent="0.35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 x14ac:dyDescent="0.35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 x14ac:dyDescent="0.35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 x14ac:dyDescent="0.35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 x14ac:dyDescent="0.35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 x14ac:dyDescent="0.35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 x14ac:dyDescent="0.35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 x14ac:dyDescent="0.35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 x14ac:dyDescent="0.35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 x14ac:dyDescent="0.35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 x14ac:dyDescent="0.35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 x14ac:dyDescent="0.35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 x14ac:dyDescent="0.35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 x14ac:dyDescent="0.35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 x14ac:dyDescent="0.35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 x14ac:dyDescent="0.35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 x14ac:dyDescent="0.35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 x14ac:dyDescent="0.35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 x14ac:dyDescent="0.35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 x14ac:dyDescent="0.35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 x14ac:dyDescent="0.35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 x14ac:dyDescent="0.35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 x14ac:dyDescent="0.35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 x14ac:dyDescent="0.35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 x14ac:dyDescent="0.35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 x14ac:dyDescent="0.35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 x14ac:dyDescent="0.35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 x14ac:dyDescent="0.35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 x14ac:dyDescent="0.35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 x14ac:dyDescent="0.35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 x14ac:dyDescent="0.35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 x14ac:dyDescent="0.35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 x14ac:dyDescent="0.35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 x14ac:dyDescent="0.35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 x14ac:dyDescent="0.35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 x14ac:dyDescent="0.35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 x14ac:dyDescent="0.35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 x14ac:dyDescent="0.35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 x14ac:dyDescent="0.35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 x14ac:dyDescent="0.35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 x14ac:dyDescent="0.35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 x14ac:dyDescent="0.35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 x14ac:dyDescent="0.35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 x14ac:dyDescent="0.35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 x14ac:dyDescent="0.35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 x14ac:dyDescent="0.35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 x14ac:dyDescent="0.35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 x14ac:dyDescent="0.35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 x14ac:dyDescent="0.35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 x14ac:dyDescent="0.35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 x14ac:dyDescent="0.35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 x14ac:dyDescent="0.35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 x14ac:dyDescent="0.35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 x14ac:dyDescent="0.35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 x14ac:dyDescent="0.35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 x14ac:dyDescent="0.35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 x14ac:dyDescent="0.35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 x14ac:dyDescent="0.35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 x14ac:dyDescent="0.35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 x14ac:dyDescent="0.35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 x14ac:dyDescent="0.35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 x14ac:dyDescent="0.35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 x14ac:dyDescent="0.35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 x14ac:dyDescent="0.35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 x14ac:dyDescent="0.35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 x14ac:dyDescent="0.35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 x14ac:dyDescent="0.35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 x14ac:dyDescent="0.35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 x14ac:dyDescent="0.35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 x14ac:dyDescent="0.35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 x14ac:dyDescent="0.35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 x14ac:dyDescent="0.35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 x14ac:dyDescent="0.35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 x14ac:dyDescent="0.35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 x14ac:dyDescent="0.35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 x14ac:dyDescent="0.35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 x14ac:dyDescent="0.35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 x14ac:dyDescent="0.35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 x14ac:dyDescent="0.35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 x14ac:dyDescent="0.35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 x14ac:dyDescent="0.35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 x14ac:dyDescent="0.35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 x14ac:dyDescent="0.35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 x14ac:dyDescent="0.35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 x14ac:dyDescent="0.35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 x14ac:dyDescent="0.35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 x14ac:dyDescent="0.35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 x14ac:dyDescent="0.35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 x14ac:dyDescent="0.35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 x14ac:dyDescent="0.35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 x14ac:dyDescent="0.35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 x14ac:dyDescent="0.35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 x14ac:dyDescent="0.35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 x14ac:dyDescent="0.35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 x14ac:dyDescent="0.35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 x14ac:dyDescent="0.35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 x14ac:dyDescent="0.35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 x14ac:dyDescent="0.35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 x14ac:dyDescent="0.35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 x14ac:dyDescent="0.35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 x14ac:dyDescent="0.35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 x14ac:dyDescent="0.35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 x14ac:dyDescent="0.35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 x14ac:dyDescent="0.35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 x14ac:dyDescent="0.35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 x14ac:dyDescent="0.35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 x14ac:dyDescent="0.35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 x14ac:dyDescent="0.35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 x14ac:dyDescent="0.35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 x14ac:dyDescent="0.35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 x14ac:dyDescent="0.35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 x14ac:dyDescent="0.35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 x14ac:dyDescent="0.35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 x14ac:dyDescent="0.35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 x14ac:dyDescent="0.35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 x14ac:dyDescent="0.35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 x14ac:dyDescent="0.35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 x14ac:dyDescent="0.35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 x14ac:dyDescent="0.35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 x14ac:dyDescent="0.35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 x14ac:dyDescent="0.35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 x14ac:dyDescent="0.35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 x14ac:dyDescent="0.35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 x14ac:dyDescent="0.35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 x14ac:dyDescent="0.35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 x14ac:dyDescent="0.35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 x14ac:dyDescent="0.35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 x14ac:dyDescent="0.35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 x14ac:dyDescent="0.35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 x14ac:dyDescent="0.35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 x14ac:dyDescent="0.35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 x14ac:dyDescent="0.35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 x14ac:dyDescent="0.35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 x14ac:dyDescent="0.35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 x14ac:dyDescent="0.35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 x14ac:dyDescent="0.35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 x14ac:dyDescent="0.35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 x14ac:dyDescent="0.35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 x14ac:dyDescent="0.35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 x14ac:dyDescent="0.35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 x14ac:dyDescent="0.35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 x14ac:dyDescent="0.35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 x14ac:dyDescent="0.35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 x14ac:dyDescent="0.35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 x14ac:dyDescent="0.35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 x14ac:dyDescent="0.35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 x14ac:dyDescent="0.35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 x14ac:dyDescent="0.35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 x14ac:dyDescent="0.35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 x14ac:dyDescent="0.35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 x14ac:dyDescent="0.35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 x14ac:dyDescent="0.35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 x14ac:dyDescent="0.35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 x14ac:dyDescent="0.35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 x14ac:dyDescent="0.35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 x14ac:dyDescent="0.35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 x14ac:dyDescent="0.35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 x14ac:dyDescent="0.35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 x14ac:dyDescent="0.35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 x14ac:dyDescent="0.35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U3828" s="1" t="s">
        <v>24</v>
      </c>
    </row>
    <row r="3829" spans="1:21" x14ac:dyDescent="0.35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 x14ac:dyDescent="0.35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 x14ac:dyDescent="0.35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 x14ac:dyDescent="0.35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 x14ac:dyDescent="0.35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 x14ac:dyDescent="0.35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 x14ac:dyDescent="0.35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 x14ac:dyDescent="0.35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 x14ac:dyDescent="0.35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 x14ac:dyDescent="0.35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 x14ac:dyDescent="0.35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 x14ac:dyDescent="0.35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 x14ac:dyDescent="0.35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 x14ac:dyDescent="0.35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 x14ac:dyDescent="0.35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 x14ac:dyDescent="0.35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 x14ac:dyDescent="0.35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 x14ac:dyDescent="0.35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 x14ac:dyDescent="0.35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 x14ac:dyDescent="0.35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 x14ac:dyDescent="0.35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 x14ac:dyDescent="0.35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 x14ac:dyDescent="0.35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 x14ac:dyDescent="0.35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 x14ac:dyDescent="0.35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 x14ac:dyDescent="0.35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 x14ac:dyDescent="0.35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 x14ac:dyDescent="0.35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 x14ac:dyDescent="0.35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 x14ac:dyDescent="0.35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 x14ac:dyDescent="0.35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 x14ac:dyDescent="0.35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 x14ac:dyDescent="0.35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 x14ac:dyDescent="0.35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 x14ac:dyDescent="0.35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 x14ac:dyDescent="0.35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 x14ac:dyDescent="0.35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 x14ac:dyDescent="0.35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 x14ac:dyDescent="0.35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 x14ac:dyDescent="0.35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 x14ac:dyDescent="0.35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 x14ac:dyDescent="0.35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 x14ac:dyDescent="0.35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 x14ac:dyDescent="0.35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 x14ac:dyDescent="0.35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 x14ac:dyDescent="0.35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 x14ac:dyDescent="0.35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 x14ac:dyDescent="0.35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 x14ac:dyDescent="0.35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 x14ac:dyDescent="0.35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 x14ac:dyDescent="0.35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 x14ac:dyDescent="0.35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 x14ac:dyDescent="0.35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 x14ac:dyDescent="0.35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 x14ac:dyDescent="0.35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 x14ac:dyDescent="0.35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 x14ac:dyDescent="0.35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 x14ac:dyDescent="0.35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 x14ac:dyDescent="0.35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 x14ac:dyDescent="0.35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 x14ac:dyDescent="0.35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 x14ac:dyDescent="0.35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 x14ac:dyDescent="0.35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 x14ac:dyDescent="0.35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 x14ac:dyDescent="0.35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 x14ac:dyDescent="0.35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 x14ac:dyDescent="0.35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 x14ac:dyDescent="0.35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 x14ac:dyDescent="0.35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 x14ac:dyDescent="0.35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 x14ac:dyDescent="0.35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 x14ac:dyDescent="0.35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 x14ac:dyDescent="0.35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 x14ac:dyDescent="0.35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 x14ac:dyDescent="0.35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 x14ac:dyDescent="0.35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 x14ac:dyDescent="0.35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 x14ac:dyDescent="0.35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 x14ac:dyDescent="0.35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 x14ac:dyDescent="0.35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 x14ac:dyDescent="0.35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 x14ac:dyDescent="0.35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 x14ac:dyDescent="0.35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 x14ac:dyDescent="0.35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 x14ac:dyDescent="0.35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 x14ac:dyDescent="0.35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 x14ac:dyDescent="0.35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 x14ac:dyDescent="0.35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 x14ac:dyDescent="0.35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 x14ac:dyDescent="0.35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 x14ac:dyDescent="0.35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 x14ac:dyDescent="0.35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 x14ac:dyDescent="0.35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 x14ac:dyDescent="0.35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 x14ac:dyDescent="0.35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 x14ac:dyDescent="0.35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 x14ac:dyDescent="0.35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 x14ac:dyDescent="0.35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 x14ac:dyDescent="0.35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 x14ac:dyDescent="0.35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 x14ac:dyDescent="0.35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 x14ac:dyDescent="0.35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 x14ac:dyDescent="0.35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 x14ac:dyDescent="0.35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 x14ac:dyDescent="0.35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 x14ac:dyDescent="0.35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 x14ac:dyDescent="0.35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 x14ac:dyDescent="0.35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 x14ac:dyDescent="0.35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 x14ac:dyDescent="0.35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 x14ac:dyDescent="0.35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 x14ac:dyDescent="0.35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 x14ac:dyDescent="0.35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 x14ac:dyDescent="0.35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 x14ac:dyDescent="0.35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 x14ac:dyDescent="0.35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 x14ac:dyDescent="0.35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 x14ac:dyDescent="0.35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 x14ac:dyDescent="0.35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 x14ac:dyDescent="0.35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 x14ac:dyDescent="0.35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 x14ac:dyDescent="0.35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 x14ac:dyDescent="0.35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 x14ac:dyDescent="0.35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 x14ac:dyDescent="0.35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 x14ac:dyDescent="0.35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 x14ac:dyDescent="0.35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 x14ac:dyDescent="0.35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 x14ac:dyDescent="0.35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 x14ac:dyDescent="0.35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 x14ac:dyDescent="0.35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 x14ac:dyDescent="0.35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 x14ac:dyDescent="0.35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 x14ac:dyDescent="0.35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 x14ac:dyDescent="0.35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 x14ac:dyDescent="0.35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 x14ac:dyDescent="0.35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 x14ac:dyDescent="0.35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 x14ac:dyDescent="0.35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 x14ac:dyDescent="0.35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 x14ac:dyDescent="0.35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 x14ac:dyDescent="0.35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 x14ac:dyDescent="0.35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 x14ac:dyDescent="0.35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 x14ac:dyDescent="0.35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 x14ac:dyDescent="0.35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 x14ac:dyDescent="0.35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 x14ac:dyDescent="0.35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 x14ac:dyDescent="0.35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 x14ac:dyDescent="0.35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 x14ac:dyDescent="0.35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 x14ac:dyDescent="0.35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 x14ac:dyDescent="0.35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 x14ac:dyDescent="0.35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 x14ac:dyDescent="0.35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 x14ac:dyDescent="0.35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 x14ac:dyDescent="0.35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 x14ac:dyDescent="0.35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 x14ac:dyDescent="0.35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 x14ac:dyDescent="0.35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 x14ac:dyDescent="0.35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 x14ac:dyDescent="0.35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 x14ac:dyDescent="0.35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 x14ac:dyDescent="0.35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 x14ac:dyDescent="0.35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 x14ac:dyDescent="0.35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 x14ac:dyDescent="0.35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 x14ac:dyDescent="0.35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 x14ac:dyDescent="0.35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 x14ac:dyDescent="0.35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 x14ac:dyDescent="0.35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 x14ac:dyDescent="0.35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 x14ac:dyDescent="0.35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 x14ac:dyDescent="0.35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 x14ac:dyDescent="0.35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 x14ac:dyDescent="0.35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 x14ac:dyDescent="0.35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 x14ac:dyDescent="0.35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 x14ac:dyDescent="0.35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 x14ac:dyDescent="0.35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 x14ac:dyDescent="0.35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 x14ac:dyDescent="0.35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 x14ac:dyDescent="0.35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 x14ac:dyDescent="0.35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 x14ac:dyDescent="0.35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 x14ac:dyDescent="0.35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 x14ac:dyDescent="0.35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 x14ac:dyDescent="0.35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 x14ac:dyDescent="0.35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 x14ac:dyDescent="0.35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 x14ac:dyDescent="0.35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 x14ac:dyDescent="0.35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 x14ac:dyDescent="0.35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 x14ac:dyDescent="0.35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 x14ac:dyDescent="0.35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 x14ac:dyDescent="0.35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 x14ac:dyDescent="0.35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 x14ac:dyDescent="0.35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 x14ac:dyDescent="0.35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 x14ac:dyDescent="0.35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 x14ac:dyDescent="0.35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 x14ac:dyDescent="0.35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 x14ac:dyDescent="0.35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 x14ac:dyDescent="0.35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 x14ac:dyDescent="0.35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 x14ac:dyDescent="0.35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 x14ac:dyDescent="0.35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 x14ac:dyDescent="0.35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 x14ac:dyDescent="0.35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 x14ac:dyDescent="0.35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 x14ac:dyDescent="0.35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 x14ac:dyDescent="0.35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 x14ac:dyDescent="0.35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 x14ac:dyDescent="0.35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 x14ac:dyDescent="0.35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 x14ac:dyDescent="0.35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 x14ac:dyDescent="0.35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 x14ac:dyDescent="0.35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 x14ac:dyDescent="0.35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 x14ac:dyDescent="0.35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 x14ac:dyDescent="0.35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 x14ac:dyDescent="0.35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 x14ac:dyDescent="0.35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 x14ac:dyDescent="0.35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 x14ac:dyDescent="0.35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 x14ac:dyDescent="0.35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 x14ac:dyDescent="0.35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 x14ac:dyDescent="0.35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 x14ac:dyDescent="0.35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 x14ac:dyDescent="0.35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 x14ac:dyDescent="0.35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 x14ac:dyDescent="0.35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 x14ac:dyDescent="0.35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 x14ac:dyDescent="0.35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 x14ac:dyDescent="0.35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 x14ac:dyDescent="0.35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 x14ac:dyDescent="0.35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 x14ac:dyDescent="0.35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 x14ac:dyDescent="0.35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 x14ac:dyDescent="0.35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 x14ac:dyDescent="0.35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 x14ac:dyDescent="0.35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 x14ac:dyDescent="0.35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 x14ac:dyDescent="0.35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 x14ac:dyDescent="0.35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 x14ac:dyDescent="0.35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 x14ac:dyDescent="0.35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 x14ac:dyDescent="0.35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 x14ac:dyDescent="0.35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 x14ac:dyDescent="0.35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 x14ac:dyDescent="0.35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 x14ac:dyDescent="0.35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 x14ac:dyDescent="0.35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 x14ac:dyDescent="0.35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 x14ac:dyDescent="0.35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 x14ac:dyDescent="0.35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 x14ac:dyDescent="0.35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 x14ac:dyDescent="0.35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 x14ac:dyDescent="0.35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 x14ac:dyDescent="0.35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 x14ac:dyDescent="0.35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 x14ac:dyDescent="0.35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 x14ac:dyDescent="0.35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 x14ac:dyDescent="0.35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 x14ac:dyDescent="0.35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 x14ac:dyDescent="0.35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 x14ac:dyDescent="0.35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 x14ac:dyDescent="0.35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 x14ac:dyDescent="0.35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 x14ac:dyDescent="0.35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 x14ac:dyDescent="0.35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 x14ac:dyDescent="0.35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 x14ac:dyDescent="0.35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 x14ac:dyDescent="0.35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 x14ac:dyDescent="0.35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 x14ac:dyDescent="0.35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 x14ac:dyDescent="0.35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 x14ac:dyDescent="0.35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 x14ac:dyDescent="0.35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 x14ac:dyDescent="0.35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 x14ac:dyDescent="0.35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 x14ac:dyDescent="0.35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 x14ac:dyDescent="0.35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 x14ac:dyDescent="0.35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 x14ac:dyDescent="0.35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 x14ac:dyDescent="0.35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 x14ac:dyDescent="0.35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 x14ac:dyDescent="0.35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 x14ac:dyDescent="0.35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 x14ac:dyDescent="0.35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 x14ac:dyDescent="0.35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 x14ac:dyDescent="0.35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 x14ac:dyDescent="0.35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 x14ac:dyDescent="0.35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 x14ac:dyDescent="0.35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 x14ac:dyDescent="0.35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 x14ac:dyDescent="0.35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 x14ac:dyDescent="0.35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 x14ac:dyDescent="0.35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 x14ac:dyDescent="0.35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 x14ac:dyDescent="0.35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 x14ac:dyDescent="0.35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 x14ac:dyDescent="0.35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 x14ac:dyDescent="0.35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 x14ac:dyDescent="0.35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 x14ac:dyDescent="0.35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 x14ac:dyDescent="0.35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 x14ac:dyDescent="0.35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 x14ac:dyDescent="0.35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 x14ac:dyDescent="0.35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 x14ac:dyDescent="0.35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 x14ac:dyDescent="0.35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 x14ac:dyDescent="0.35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 x14ac:dyDescent="0.35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 x14ac:dyDescent="0.35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 x14ac:dyDescent="0.35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 x14ac:dyDescent="0.35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 x14ac:dyDescent="0.35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 x14ac:dyDescent="0.35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 x14ac:dyDescent="0.35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 x14ac:dyDescent="0.35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 x14ac:dyDescent="0.35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 x14ac:dyDescent="0.35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 x14ac:dyDescent="0.35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 x14ac:dyDescent="0.35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 x14ac:dyDescent="0.35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 x14ac:dyDescent="0.35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 x14ac:dyDescent="0.35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 x14ac:dyDescent="0.35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 x14ac:dyDescent="0.35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 x14ac:dyDescent="0.35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 x14ac:dyDescent="0.35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 x14ac:dyDescent="0.35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 x14ac:dyDescent="0.35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 x14ac:dyDescent="0.35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 x14ac:dyDescent="0.35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 x14ac:dyDescent="0.35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 x14ac:dyDescent="0.35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 x14ac:dyDescent="0.35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 x14ac:dyDescent="0.35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 x14ac:dyDescent="0.35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 x14ac:dyDescent="0.35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 x14ac:dyDescent="0.35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 x14ac:dyDescent="0.35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 x14ac:dyDescent="0.35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 x14ac:dyDescent="0.35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 x14ac:dyDescent="0.35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 x14ac:dyDescent="0.35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 x14ac:dyDescent="0.35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 x14ac:dyDescent="0.35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 x14ac:dyDescent="0.35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 x14ac:dyDescent="0.35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 x14ac:dyDescent="0.35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 x14ac:dyDescent="0.35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 x14ac:dyDescent="0.35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 x14ac:dyDescent="0.35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 x14ac:dyDescent="0.35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 x14ac:dyDescent="0.35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 x14ac:dyDescent="0.35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 x14ac:dyDescent="0.35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 x14ac:dyDescent="0.35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 x14ac:dyDescent="0.35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 x14ac:dyDescent="0.35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 x14ac:dyDescent="0.35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 x14ac:dyDescent="0.35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 x14ac:dyDescent="0.35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 x14ac:dyDescent="0.35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 x14ac:dyDescent="0.35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 x14ac:dyDescent="0.35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 x14ac:dyDescent="0.35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 x14ac:dyDescent="0.35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 x14ac:dyDescent="0.35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 x14ac:dyDescent="0.35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 x14ac:dyDescent="0.35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 x14ac:dyDescent="0.35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 x14ac:dyDescent="0.35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 x14ac:dyDescent="0.35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 x14ac:dyDescent="0.35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 x14ac:dyDescent="0.35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 x14ac:dyDescent="0.35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 x14ac:dyDescent="0.35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 x14ac:dyDescent="0.35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 x14ac:dyDescent="0.35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 x14ac:dyDescent="0.35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 x14ac:dyDescent="0.35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 x14ac:dyDescent="0.35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 x14ac:dyDescent="0.35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 x14ac:dyDescent="0.35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 x14ac:dyDescent="0.35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 x14ac:dyDescent="0.35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 x14ac:dyDescent="0.35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 x14ac:dyDescent="0.35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 x14ac:dyDescent="0.35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 x14ac:dyDescent="0.35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 x14ac:dyDescent="0.35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 x14ac:dyDescent="0.35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 x14ac:dyDescent="0.35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 x14ac:dyDescent="0.35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 x14ac:dyDescent="0.35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 x14ac:dyDescent="0.35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 x14ac:dyDescent="0.35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 x14ac:dyDescent="0.35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 x14ac:dyDescent="0.35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 x14ac:dyDescent="0.35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 x14ac:dyDescent="0.35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 x14ac:dyDescent="0.35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 x14ac:dyDescent="0.35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 x14ac:dyDescent="0.35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 x14ac:dyDescent="0.35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 x14ac:dyDescent="0.35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 x14ac:dyDescent="0.35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 x14ac:dyDescent="0.35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 x14ac:dyDescent="0.35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 x14ac:dyDescent="0.35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 x14ac:dyDescent="0.35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 x14ac:dyDescent="0.35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 x14ac:dyDescent="0.35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 x14ac:dyDescent="0.35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 x14ac:dyDescent="0.35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 x14ac:dyDescent="0.35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 x14ac:dyDescent="0.35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 x14ac:dyDescent="0.35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 x14ac:dyDescent="0.35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 x14ac:dyDescent="0.35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 x14ac:dyDescent="0.35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 x14ac:dyDescent="0.35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 x14ac:dyDescent="0.35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 x14ac:dyDescent="0.35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 x14ac:dyDescent="0.35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 x14ac:dyDescent="0.35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 x14ac:dyDescent="0.35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 x14ac:dyDescent="0.35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 x14ac:dyDescent="0.35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 x14ac:dyDescent="0.35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 x14ac:dyDescent="0.35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 x14ac:dyDescent="0.35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 x14ac:dyDescent="0.35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 x14ac:dyDescent="0.35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 x14ac:dyDescent="0.35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 x14ac:dyDescent="0.35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 x14ac:dyDescent="0.35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 x14ac:dyDescent="0.35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 x14ac:dyDescent="0.35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 x14ac:dyDescent="0.35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 x14ac:dyDescent="0.35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 x14ac:dyDescent="0.35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 x14ac:dyDescent="0.35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 x14ac:dyDescent="0.35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 x14ac:dyDescent="0.35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 x14ac:dyDescent="0.35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 x14ac:dyDescent="0.35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 x14ac:dyDescent="0.35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 x14ac:dyDescent="0.35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 x14ac:dyDescent="0.35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 x14ac:dyDescent="0.35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 x14ac:dyDescent="0.35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 x14ac:dyDescent="0.35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 x14ac:dyDescent="0.35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 x14ac:dyDescent="0.35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 x14ac:dyDescent="0.35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 x14ac:dyDescent="0.35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 x14ac:dyDescent="0.35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 x14ac:dyDescent="0.35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 x14ac:dyDescent="0.35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 x14ac:dyDescent="0.35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 x14ac:dyDescent="0.35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 x14ac:dyDescent="0.35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 x14ac:dyDescent="0.35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 x14ac:dyDescent="0.35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 x14ac:dyDescent="0.35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 x14ac:dyDescent="0.35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 x14ac:dyDescent="0.35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 x14ac:dyDescent="0.35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 x14ac:dyDescent="0.35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 x14ac:dyDescent="0.35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 x14ac:dyDescent="0.35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 x14ac:dyDescent="0.35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 x14ac:dyDescent="0.35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 x14ac:dyDescent="0.35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 x14ac:dyDescent="0.35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 x14ac:dyDescent="0.35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 x14ac:dyDescent="0.35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 x14ac:dyDescent="0.35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 x14ac:dyDescent="0.35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 x14ac:dyDescent="0.35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 x14ac:dyDescent="0.35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 x14ac:dyDescent="0.35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 x14ac:dyDescent="0.35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 x14ac:dyDescent="0.35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 x14ac:dyDescent="0.35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 x14ac:dyDescent="0.35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 x14ac:dyDescent="0.35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 x14ac:dyDescent="0.35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 x14ac:dyDescent="0.35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 x14ac:dyDescent="0.35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 x14ac:dyDescent="0.35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 x14ac:dyDescent="0.35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 x14ac:dyDescent="0.35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 x14ac:dyDescent="0.35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 x14ac:dyDescent="0.35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 x14ac:dyDescent="0.35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 x14ac:dyDescent="0.35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 x14ac:dyDescent="0.35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 x14ac:dyDescent="0.35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 x14ac:dyDescent="0.35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 x14ac:dyDescent="0.35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 x14ac:dyDescent="0.35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 x14ac:dyDescent="0.35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 x14ac:dyDescent="0.35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 x14ac:dyDescent="0.35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 x14ac:dyDescent="0.35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 x14ac:dyDescent="0.35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 x14ac:dyDescent="0.35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 x14ac:dyDescent="0.35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 x14ac:dyDescent="0.35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 x14ac:dyDescent="0.35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 x14ac:dyDescent="0.35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 x14ac:dyDescent="0.35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 x14ac:dyDescent="0.35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 x14ac:dyDescent="0.35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 x14ac:dyDescent="0.35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 x14ac:dyDescent="0.35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 x14ac:dyDescent="0.35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 x14ac:dyDescent="0.35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 x14ac:dyDescent="0.35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 x14ac:dyDescent="0.35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 x14ac:dyDescent="0.35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 x14ac:dyDescent="0.35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 x14ac:dyDescent="0.35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 x14ac:dyDescent="0.35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 x14ac:dyDescent="0.35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 x14ac:dyDescent="0.35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 x14ac:dyDescent="0.35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 x14ac:dyDescent="0.35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 x14ac:dyDescent="0.35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 x14ac:dyDescent="0.35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 x14ac:dyDescent="0.35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 x14ac:dyDescent="0.35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 x14ac:dyDescent="0.35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 x14ac:dyDescent="0.35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 x14ac:dyDescent="0.35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 x14ac:dyDescent="0.35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 x14ac:dyDescent="0.35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 x14ac:dyDescent="0.35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 x14ac:dyDescent="0.35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 x14ac:dyDescent="0.35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 x14ac:dyDescent="0.35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 x14ac:dyDescent="0.35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 x14ac:dyDescent="0.35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 x14ac:dyDescent="0.35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 x14ac:dyDescent="0.35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 x14ac:dyDescent="0.35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 x14ac:dyDescent="0.35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 x14ac:dyDescent="0.35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</row>
    <row r="4383" spans="1:21" x14ac:dyDescent="0.35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 x14ac:dyDescent="0.35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 x14ac:dyDescent="0.35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 x14ac:dyDescent="0.35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 x14ac:dyDescent="0.35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 x14ac:dyDescent="0.35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 x14ac:dyDescent="0.35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 x14ac:dyDescent="0.35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 x14ac:dyDescent="0.35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 x14ac:dyDescent="0.35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 x14ac:dyDescent="0.35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 x14ac:dyDescent="0.35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 x14ac:dyDescent="0.35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 x14ac:dyDescent="0.35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 x14ac:dyDescent="0.35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 x14ac:dyDescent="0.35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 x14ac:dyDescent="0.35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 x14ac:dyDescent="0.35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 x14ac:dyDescent="0.35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 x14ac:dyDescent="0.35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 x14ac:dyDescent="0.35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 x14ac:dyDescent="0.35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 x14ac:dyDescent="0.35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 x14ac:dyDescent="0.35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 x14ac:dyDescent="0.35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 x14ac:dyDescent="0.35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 x14ac:dyDescent="0.35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 x14ac:dyDescent="0.35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 x14ac:dyDescent="0.35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 x14ac:dyDescent="0.35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 x14ac:dyDescent="0.35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 x14ac:dyDescent="0.35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 x14ac:dyDescent="0.35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 x14ac:dyDescent="0.35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 x14ac:dyDescent="0.35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 x14ac:dyDescent="0.35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 x14ac:dyDescent="0.35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 x14ac:dyDescent="0.35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 x14ac:dyDescent="0.35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 x14ac:dyDescent="0.35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 x14ac:dyDescent="0.35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 x14ac:dyDescent="0.35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 x14ac:dyDescent="0.35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 x14ac:dyDescent="0.35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 x14ac:dyDescent="0.35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 x14ac:dyDescent="0.35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 x14ac:dyDescent="0.35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 x14ac:dyDescent="0.35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 x14ac:dyDescent="0.35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 x14ac:dyDescent="0.35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 x14ac:dyDescent="0.35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 x14ac:dyDescent="0.35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 x14ac:dyDescent="0.35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 x14ac:dyDescent="0.35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 x14ac:dyDescent="0.35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 x14ac:dyDescent="0.35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 x14ac:dyDescent="0.35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 x14ac:dyDescent="0.35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 x14ac:dyDescent="0.35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 x14ac:dyDescent="0.35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 x14ac:dyDescent="0.35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 x14ac:dyDescent="0.35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 x14ac:dyDescent="0.35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 x14ac:dyDescent="0.35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 x14ac:dyDescent="0.35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 x14ac:dyDescent="0.35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 x14ac:dyDescent="0.35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 x14ac:dyDescent="0.35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 x14ac:dyDescent="0.35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 x14ac:dyDescent="0.35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 x14ac:dyDescent="0.35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 x14ac:dyDescent="0.35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 x14ac:dyDescent="0.35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 x14ac:dyDescent="0.35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 x14ac:dyDescent="0.35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 x14ac:dyDescent="0.35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 x14ac:dyDescent="0.35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 x14ac:dyDescent="0.35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 x14ac:dyDescent="0.35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 x14ac:dyDescent="0.35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 x14ac:dyDescent="0.35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 x14ac:dyDescent="0.35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 x14ac:dyDescent="0.35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 x14ac:dyDescent="0.35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 x14ac:dyDescent="0.35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 x14ac:dyDescent="0.35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 x14ac:dyDescent="0.35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 x14ac:dyDescent="0.35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 x14ac:dyDescent="0.35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 x14ac:dyDescent="0.35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 x14ac:dyDescent="0.35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 x14ac:dyDescent="0.35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 x14ac:dyDescent="0.35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 x14ac:dyDescent="0.35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 x14ac:dyDescent="0.35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 x14ac:dyDescent="0.35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 x14ac:dyDescent="0.35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 x14ac:dyDescent="0.35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 x14ac:dyDescent="0.35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 x14ac:dyDescent="0.35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 x14ac:dyDescent="0.35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 x14ac:dyDescent="0.35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 x14ac:dyDescent="0.35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 x14ac:dyDescent="0.35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 x14ac:dyDescent="0.35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 x14ac:dyDescent="0.35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 x14ac:dyDescent="0.35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 x14ac:dyDescent="0.35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 x14ac:dyDescent="0.35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 x14ac:dyDescent="0.35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 x14ac:dyDescent="0.35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 x14ac:dyDescent="0.35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 x14ac:dyDescent="0.35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 x14ac:dyDescent="0.35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 x14ac:dyDescent="0.35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 x14ac:dyDescent="0.35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 x14ac:dyDescent="0.35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 x14ac:dyDescent="0.35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 x14ac:dyDescent="0.35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 x14ac:dyDescent="0.35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 x14ac:dyDescent="0.35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 x14ac:dyDescent="0.35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 x14ac:dyDescent="0.35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 x14ac:dyDescent="0.35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 x14ac:dyDescent="0.35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 x14ac:dyDescent="0.35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 x14ac:dyDescent="0.35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 x14ac:dyDescent="0.35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 x14ac:dyDescent="0.35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 x14ac:dyDescent="0.35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 x14ac:dyDescent="0.35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 x14ac:dyDescent="0.35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 x14ac:dyDescent="0.35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 x14ac:dyDescent="0.35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 x14ac:dyDescent="0.35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 x14ac:dyDescent="0.35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 x14ac:dyDescent="0.35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 x14ac:dyDescent="0.35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 x14ac:dyDescent="0.35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 x14ac:dyDescent="0.35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 x14ac:dyDescent="0.35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 x14ac:dyDescent="0.35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 x14ac:dyDescent="0.35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 x14ac:dyDescent="0.35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 x14ac:dyDescent="0.35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 x14ac:dyDescent="0.35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 x14ac:dyDescent="0.35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 x14ac:dyDescent="0.35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 x14ac:dyDescent="0.35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 x14ac:dyDescent="0.35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 x14ac:dyDescent="0.35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 x14ac:dyDescent="0.35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 x14ac:dyDescent="0.35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 x14ac:dyDescent="0.35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 x14ac:dyDescent="0.35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 x14ac:dyDescent="0.35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 x14ac:dyDescent="0.35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 x14ac:dyDescent="0.35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 x14ac:dyDescent="0.35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 x14ac:dyDescent="0.35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 x14ac:dyDescent="0.35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 x14ac:dyDescent="0.35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 x14ac:dyDescent="0.35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 x14ac:dyDescent="0.35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 x14ac:dyDescent="0.35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 x14ac:dyDescent="0.35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 x14ac:dyDescent="0.35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 x14ac:dyDescent="0.35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 x14ac:dyDescent="0.35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 x14ac:dyDescent="0.35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 x14ac:dyDescent="0.35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 x14ac:dyDescent="0.35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 x14ac:dyDescent="0.35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 x14ac:dyDescent="0.35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 x14ac:dyDescent="0.35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 x14ac:dyDescent="0.35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 x14ac:dyDescent="0.35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 x14ac:dyDescent="0.35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 x14ac:dyDescent="0.35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 x14ac:dyDescent="0.35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 x14ac:dyDescent="0.35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 x14ac:dyDescent="0.35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 x14ac:dyDescent="0.35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 x14ac:dyDescent="0.35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 x14ac:dyDescent="0.35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 x14ac:dyDescent="0.35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 x14ac:dyDescent="0.35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 x14ac:dyDescent="0.35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 x14ac:dyDescent="0.35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 x14ac:dyDescent="0.35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 x14ac:dyDescent="0.35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 x14ac:dyDescent="0.35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 x14ac:dyDescent="0.35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 x14ac:dyDescent="0.35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 x14ac:dyDescent="0.35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 x14ac:dyDescent="0.35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 x14ac:dyDescent="0.35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 x14ac:dyDescent="0.35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 x14ac:dyDescent="0.35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 x14ac:dyDescent="0.35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 x14ac:dyDescent="0.35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 x14ac:dyDescent="0.35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 x14ac:dyDescent="0.35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 x14ac:dyDescent="0.35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 x14ac:dyDescent="0.35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 x14ac:dyDescent="0.35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 x14ac:dyDescent="0.35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 x14ac:dyDescent="0.35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 x14ac:dyDescent="0.35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 x14ac:dyDescent="0.35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 x14ac:dyDescent="0.35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 x14ac:dyDescent="0.35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 x14ac:dyDescent="0.35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 x14ac:dyDescent="0.35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 x14ac:dyDescent="0.35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 x14ac:dyDescent="0.35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 x14ac:dyDescent="0.35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 x14ac:dyDescent="0.35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 x14ac:dyDescent="0.35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 x14ac:dyDescent="0.35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 x14ac:dyDescent="0.35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 x14ac:dyDescent="0.35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 x14ac:dyDescent="0.35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 x14ac:dyDescent="0.35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 x14ac:dyDescent="0.35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 x14ac:dyDescent="0.35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 x14ac:dyDescent="0.35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 x14ac:dyDescent="0.35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 x14ac:dyDescent="0.35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 x14ac:dyDescent="0.35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 x14ac:dyDescent="0.35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 x14ac:dyDescent="0.35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 x14ac:dyDescent="0.35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 x14ac:dyDescent="0.35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 x14ac:dyDescent="0.35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 x14ac:dyDescent="0.35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 x14ac:dyDescent="0.35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 x14ac:dyDescent="0.35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 x14ac:dyDescent="0.35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 x14ac:dyDescent="0.35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 x14ac:dyDescent="0.35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 x14ac:dyDescent="0.35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 x14ac:dyDescent="0.35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 x14ac:dyDescent="0.35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 x14ac:dyDescent="0.35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 x14ac:dyDescent="0.35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 x14ac:dyDescent="0.35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 x14ac:dyDescent="0.35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 x14ac:dyDescent="0.35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 x14ac:dyDescent="0.35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 x14ac:dyDescent="0.35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 x14ac:dyDescent="0.35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 x14ac:dyDescent="0.35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 x14ac:dyDescent="0.35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 x14ac:dyDescent="0.35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 x14ac:dyDescent="0.35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 x14ac:dyDescent="0.35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 x14ac:dyDescent="0.35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 x14ac:dyDescent="0.35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 x14ac:dyDescent="0.35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 x14ac:dyDescent="0.35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 x14ac:dyDescent="0.35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 x14ac:dyDescent="0.35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 x14ac:dyDescent="0.35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 x14ac:dyDescent="0.35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 x14ac:dyDescent="0.35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 x14ac:dyDescent="0.35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 x14ac:dyDescent="0.35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 x14ac:dyDescent="0.35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 x14ac:dyDescent="0.35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 x14ac:dyDescent="0.35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 x14ac:dyDescent="0.35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 x14ac:dyDescent="0.35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 x14ac:dyDescent="0.35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 x14ac:dyDescent="0.35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 x14ac:dyDescent="0.35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 x14ac:dyDescent="0.35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 x14ac:dyDescent="0.35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 x14ac:dyDescent="0.35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 x14ac:dyDescent="0.35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 x14ac:dyDescent="0.35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 x14ac:dyDescent="0.35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 x14ac:dyDescent="0.35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 x14ac:dyDescent="0.35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 x14ac:dyDescent="0.35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 x14ac:dyDescent="0.35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 x14ac:dyDescent="0.35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 x14ac:dyDescent="0.35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 x14ac:dyDescent="0.35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 x14ac:dyDescent="0.35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 x14ac:dyDescent="0.35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 x14ac:dyDescent="0.35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 x14ac:dyDescent="0.35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 x14ac:dyDescent="0.35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 x14ac:dyDescent="0.35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 x14ac:dyDescent="0.35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 x14ac:dyDescent="0.35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 x14ac:dyDescent="0.35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 x14ac:dyDescent="0.35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 x14ac:dyDescent="0.35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 x14ac:dyDescent="0.35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 x14ac:dyDescent="0.35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 x14ac:dyDescent="0.35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 x14ac:dyDescent="0.35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 x14ac:dyDescent="0.35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 x14ac:dyDescent="0.35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 x14ac:dyDescent="0.35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 x14ac:dyDescent="0.35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 x14ac:dyDescent="0.35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 x14ac:dyDescent="0.35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 x14ac:dyDescent="0.35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 x14ac:dyDescent="0.35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 x14ac:dyDescent="0.35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 x14ac:dyDescent="0.35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 x14ac:dyDescent="0.35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 x14ac:dyDescent="0.35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 x14ac:dyDescent="0.35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 x14ac:dyDescent="0.35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 x14ac:dyDescent="0.35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 x14ac:dyDescent="0.35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 x14ac:dyDescent="0.35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 x14ac:dyDescent="0.35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 x14ac:dyDescent="0.35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 x14ac:dyDescent="0.35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 x14ac:dyDescent="0.35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 x14ac:dyDescent="0.35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 x14ac:dyDescent="0.35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 x14ac:dyDescent="0.35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 x14ac:dyDescent="0.35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 x14ac:dyDescent="0.35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 x14ac:dyDescent="0.35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 x14ac:dyDescent="0.35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 x14ac:dyDescent="0.35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 x14ac:dyDescent="0.35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 x14ac:dyDescent="0.35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 x14ac:dyDescent="0.35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 x14ac:dyDescent="0.35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 x14ac:dyDescent="0.35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 x14ac:dyDescent="0.35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 x14ac:dyDescent="0.35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 x14ac:dyDescent="0.35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 x14ac:dyDescent="0.35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 x14ac:dyDescent="0.35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 x14ac:dyDescent="0.35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 x14ac:dyDescent="0.35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 x14ac:dyDescent="0.35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 x14ac:dyDescent="0.35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 x14ac:dyDescent="0.35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 x14ac:dyDescent="0.35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 x14ac:dyDescent="0.35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 x14ac:dyDescent="0.35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 x14ac:dyDescent="0.35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 x14ac:dyDescent="0.35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 x14ac:dyDescent="0.35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 x14ac:dyDescent="0.35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 x14ac:dyDescent="0.35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 x14ac:dyDescent="0.35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 x14ac:dyDescent="0.35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 x14ac:dyDescent="0.35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 x14ac:dyDescent="0.35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 x14ac:dyDescent="0.35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 x14ac:dyDescent="0.35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 x14ac:dyDescent="0.35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 x14ac:dyDescent="0.35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 x14ac:dyDescent="0.35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 x14ac:dyDescent="0.35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 x14ac:dyDescent="0.35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 x14ac:dyDescent="0.35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 x14ac:dyDescent="0.35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 x14ac:dyDescent="0.35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 x14ac:dyDescent="0.35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 x14ac:dyDescent="0.35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 x14ac:dyDescent="0.35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 x14ac:dyDescent="0.35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 x14ac:dyDescent="0.35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 x14ac:dyDescent="0.35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 x14ac:dyDescent="0.35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 x14ac:dyDescent="0.35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 x14ac:dyDescent="0.35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 x14ac:dyDescent="0.35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 x14ac:dyDescent="0.35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 x14ac:dyDescent="0.35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 x14ac:dyDescent="0.35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 x14ac:dyDescent="0.35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 x14ac:dyDescent="0.35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 x14ac:dyDescent="0.35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 x14ac:dyDescent="0.35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 x14ac:dyDescent="0.35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 x14ac:dyDescent="0.35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 x14ac:dyDescent="0.35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 x14ac:dyDescent="0.35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 x14ac:dyDescent="0.35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 x14ac:dyDescent="0.35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 x14ac:dyDescent="0.35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 x14ac:dyDescent="0.35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 x14ac:dyDescent="0.35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 x14ac:dyDescent="0.35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 x14ac:dyDescent="0.35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 x14ac:dyDescent="0.35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 x14ac:dyDescent="0.35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 x14ac:dyDescent="0.35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 x14ac:dyDescent="0.35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 x14ac:dyDescent="0.35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 x14ac:dyDescent="0.35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 x14ac:dyDescent="0.35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 x14ac:dyDescent="0.35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 x14ac:dyDescent="0.35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 x14ac:dyDescent="0.35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 x14ac:dyDescent="0.35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 x14ac:dyDescent="0.35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 x14ac:dyDescent="0.35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 x14ac:dyDescent="0.35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 x14ac:dyDescent="0.35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 x14ac:dyDescent="0.35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 x14ac:dyDescent="0.35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 x14ac:dyDescent="0.35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 x14ac:dyDescent="0.35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 x14ac:dyDescent="0.35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 x14ac:dyDescent="0.35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 x14ac:dyDescent="0.35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 x14ac:dyDescent="0.35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 x14ac:dyDescent="0.35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 x14ac:dyDescent="0.35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 x14ac:dyDescent="0.35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 x14ac:dyDescent="0.35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 x14ac:dyDescent="0.35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 x14ac:dyDescent="0.35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 x14ac:dyDescent="0.35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 x14ac:dyDescent="0.35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 x14ac:dyDescent="0.35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 x14ac:dyDescent="0.35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 x14ac:dyDescent="0.35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 x14ac:dyDescent="0.35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 x14ac:dyDescent="0.35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 x14ac:dyDescent="0.35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 x14ac:dyDescent="0.35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 x14ac:dyDescent="0.35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 x14ac:dyDescent="0.35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 x14ac:dyDescent="0.35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 x14ac:dyDescent="0.35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 x14ac:dyDescent="0.35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 x14ac:dyDescent="0.35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 x14ac:dyDescent="0.35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 x14ac:dyDescent="0.35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 x14ac:dyDescent="0.35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 x14ac:dyDescent="0.35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 x14ac:dyDescent="0.35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 x14ac:dyDescent="0.35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 x14ac:dyDescent="0.35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 x14ac:dyDescent="0.35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 x14ac:dyDescent="0.35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 x14ac:dyDescent="0.35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 x14ac:dyDescent="0.35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 x14ac:dyDescent="0.35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 x14ac:dyDescent="0.35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 x14ac:dyDescent="0.35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 x14ac:dyDescent="0.35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 x14ac:dyDescent="0.35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 x14ac:dyDescent="0.35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 x14ac:dyDescent="0.35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 x14ac:dyDescent="0.35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 x14ac:dyDescent="0.35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 x14ac:dyDescent="0.35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 x14ac:dyDescent="0.35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 x14ac:dyDescent="0.35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 x14ac:dyDescent="0.35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 x14ac:dyDescent="0.35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 x14ac:dyDescent="0.35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 x14ac:dyDescent="0.35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 x14ac:dyDescent="0.35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 x14ac:dyDescent="0.35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 x14ac:dyDescent="0.35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 x14ac:dyDescent="0.35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 x14ac:dyDescent="0.35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 x14ac:dyDescent="0.35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 x14ac:dyDescent="0.35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 x14ac:dyDescent="0.35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 x14ac:dyDescent="0.35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 x14ac:dyDescent="0.35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 x14ac:dyDescent="0.35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 x14ac:dyDescent="0.35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 x14ac:dyDescent="0.35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 x14ac:dyDescent="0.35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 x14ac:dyDescent="0.35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 x14ac:dyDescent="0.35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 x14ac:dyDescent="0.35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 x14ac:dyDescent="0.35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 x14ac:dyDescent="0.35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 x14ac:dyDescent="0.35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 x14ac:dyDescent="0.35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 x14ac:dyDescent="0.35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 x14ac:dyDescent="0.35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 x14ac:dyDescent="0.35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 x14ac:dyDescent="0.35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 x14ac:dyDescent="0.35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 x14ac:dyDescent="0.35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 x14ac:dyDescent="0.35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 x14ac:dyDescent="0.35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 x14ac:dyDescent="0.35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 x14ac:dyDescent="0.35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 x14ac:dyDescent="0.35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 x14ac:dyDescent="0.35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 x14ac:dyDescent="0.35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 x14ac:dyDescent="0.35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 x14ac:dyDescent="0.35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 x14ac:dyDescent="0.35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 x14ac:dyDescent="0.35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 x14ac:dyDescent="0.35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 x14ac:dyDescent="0.35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 x14ac:dyDescent="0.35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 x14ac:dyDescent="0.35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 x14ac:dyDescent="0.35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 x14ac:dyDescent="0.35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 x14ac:dyDescent="0.35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 x14ac:dyDescent="0.35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 x14ac:dyDescent="0.35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 x14ac:dyDescent="0.35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 x14ac:dyDescent="0.35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 x14ac:dyDescent="0.35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 x14ac:dyDescent="0.35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 x14ac:dyDescent="0.35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 x14ac:dyDescent="0.35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 x14ac:dyDescent="0.35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 x14ac:dyDescent="0.35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 x14ac:dyDescent="0.35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 x14ac:dyDescent="0.35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 x14ac:dyDescent="0.35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 x14ac:dyDescent="0.35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 x14ac:dyDescent="0.35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 x14ac:dyDescent="0.35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 x14ac:dyDescent="0.35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 x14ac:dyDescent="0.35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 x14ac:dyDescent="0.35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 x14ac:dyDescent="0.35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 x14ac:dyDescent="0.35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 x14ac:dyDescent="0.35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 x14ac:dyDescent="0.35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 x14ac:dyDescent="0.35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 x14ac:dyDescent="0.35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 x14ac:dyDescent="0.35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 x14ac:dyDescent="0.35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 x14ac:dyDescent="0.35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 x14ac:dyDescent="0.35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 x14ac:dyDescent="0.35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 x14ac:dyDescent="0.35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 x14ac:dyDescent="0.35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 x14ac:dyDescent="0.35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 x14ac:dyDescent="0.35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 x14ac:dyDescent="0.35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 x14ac:dyDescent="0.35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 x14ac:dyDescent="0.35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 x14ac:dyDescent="0.35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 x14ac:dyDescent="0.35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 x14ac:dyDescent="0.35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 x14ac:dyDescent="0.35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 x14ac:dyDescent="0.35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 x14ac:dyDescent="0.35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 x14ac:dyDescent="0.35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 x14ac:dyDescent="0.35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 x14ac:dyDescent="0.35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 x14ac:dyDescent="0.35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 x14ac:dyDescent="0.35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 x14ac:dyDescent="0.35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 x14ac:dyDescent="0.35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 x14ac:dyDescent="0.35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 x14ac:dyDescent="0.35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 x14ac:dyDescent="0.35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 x14ac:dyDescent="0.35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 x14ac:dyDescent="0.35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 x14ac:dyDescent="0.35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 x14ac:dyDescent="0.35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 x14ac:dyDescent="0.35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 x14ac:dyDescent="0.35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 x14ac:dyDescent="0.35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 x14ac:dyDescent="0.35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 x14ac:dyDescent="0.35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 x14ac:dyDescent="0.35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 x14ac:dyDescent="0.35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 x14ac:dyDescent="0.35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 x14ac:dyDescent="0.35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 x14ac:dyDescent="0.35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 x14ac:dyDescent="0.35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 x14ac:dyDescent="0.35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 x14ac:dyDescent="0.35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 x14ac:dyDescent="0.35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 x14ac:dyDescent="0.35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 x14ac:dyDescent="0.35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 x14ac:dyDescent="0.35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 x14ac:dyDescent="0.35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 x14ac:dyDescent="0.35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 x14ac:dyDescent="0.35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 x14ac:dyDescent="0.35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 x14ac:dyDescent="0.35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 x14ac:dyDescent="0.35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 x14ac:dyDescent="0.35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 x14ac:dyDescent="0.35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 x14ac:dyDescent="0.35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 x14ac:dyDescent="0.35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 x14ac:dyDescent="0.35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 x14ac:dyDescent="0.35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 x14ac:dyDescent="0.35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 x14ac:dyDescent="0.35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 x14ac:dyDescent="0.35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 x14ac:dyDescent="0.35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 x14ac:dyDescent="0.35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 x14ac:dyDescent="0.35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 x14ac:dyDescent="0.35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 x14ac:dyDescent="0.35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 x14ac:dyDescent="0.35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 x14ac:dyDescent="0.35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 x14ac:dyDescent="0.35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 x14ac:dyDescent="0.35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 x14ac:dyDescent="0.35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 x14ac:dyDescent="0.35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 x14ac:dyDescent="0.35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 x14ac:dyDescent="0.35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 x14ac:dyDescent="0.35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 x14ac:dyDescent="0.35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 x14ac:dyDescent="0.35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 x14ac:dyDescent="0.35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 x14ac:dyDescent="0.35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 x14ac:dyDescent="0.35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 x14ac:dyDescent="0.35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 x14ac:dyDescent="0.35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 x14ac:dyDescent="0.35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 x14ac:dyDescent="0.35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 x14ac:dyDescent="0.35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 x14ac:dyDescent="0.35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 x14ac:dyDescent="0.35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 x14ac:dyDescent="0.35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 x14ac:dyDescent="0.35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 x14ac:dyDescent="0.35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 x14ac:dyDescent="0.35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 x14ac:dyDescent="0.35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 x14ac:dyDescent="0.35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 x14ac:dyDescent="0.35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 x14ac:dyDescent="0.35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 x14ac:dyDescent="0.35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 x14ac:dyDescent="0.35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 x14ac:dyDescent="0.35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 x14ac:dyDescent="0.35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 x14ac:dyDescent="0.35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 x14ac:dyDescent="0.35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 x14ac:dyDescent="0.35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 x14ac:dyDescent="0.35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 x14ac:dyDescent="0.35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 x14ac:dyDescent="0.35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 x14ac:dyDescent="0.35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 x14ac:dyDescent="0.35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 x14ac:dyDescent="0.35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 x14ac:dyDescent="0.35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 x14ac:dyDescent="0.35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 x14ac:dyDescent="0.35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 x14ac:dyDescent="0.35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 x14ac:dyDescent="0.35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 x14ac:dyDescent="0.35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 x14ac:dyDescent="0.35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 x14ac:dyDescent="0.35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 x14ac:dyDescent="0.35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 x14ac:dyDescent="0.35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 x14ac:dyDescent="0.35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 x14ac:dyDescent="0.35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 x14ac:dyDescent="0.35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 x14ac:dyDescent="0.35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 x14ac:dyDescent="0.35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 x14ac:dyDescent="0.35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 x14ac:dyDescent="0.35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 x14ac:dyDescent="0.35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 x14ac:dyDescent="0.35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 x14ac:dyDescent="0.35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 x14ac:dyDescent="0.35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 x14ac:dyDescent="0.35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 x14ac:dyDescent="0.35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 x14ac:dyDescent="0.35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 x14ac:dyDescent="0.35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 x14ac:dyDescent="0.35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 x14ac:dyDescent="0.35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 x14ac:dyDescent="0.35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 x14ac:dyDescent="0.35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 x14ac:dyDescent="0.35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 x14ac:dyDescent="0.35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 x14ac:dyDescent="0.35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 x14ac:dyDescent="0.35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 x14ac:dyDescent="0.35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 x14ac:dyDescent="0.35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 x14ac:dyDescent="0.35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 x14ac:dyDescent="0.35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 x14ac:dyDescent="0.35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 x14ac:dyDescent="0.35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 x14ac:dyDescent="0.35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 x14ac:dyDescent="0.35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 x14ac:dyDescent="0.35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 x14ac:dyDescent="0.35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 x14ac:dyDescent="0.35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 x14ac:dyDescent="0.35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 x14ac:dyDescent="0.35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 x14ac:dyDescent="0.35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 x14ac:dyDescent="0.35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 x14ac:dyDescent="0.35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 x14ac:dyDescent="0.35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 x14ac:dyDescent="0.35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 x14ac:dyDescent="0.35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 x14ac:dyDescent="0.35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 x14ac:dyDescent="0.35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 x14ac:dyDescent="0.35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 x14ac:dyDescent="0.35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 x14ac:dyDescent="0.35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 x14ac:dyDescent="0.35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 x14ac:dyDescent="0.35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 x14ac:dyDescent="0.35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 x14ac:dyDescent="0.35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 x14ac:dyDescent="0.35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 x14ac:dyDescent="0.35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 x14ac:dyDescent="0.35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 x14ac:dyDescent="0.35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 x14ac:dyDescent="0.35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 x14ac:dyDescent="0.35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 x14ac:dyDescent="0.35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 x14ac:dyDescent="0.35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 x14ac:dyDescent="0.35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 x14ac:dyDescent="0.35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 x14ac:dyDescent="0.35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 x14ac:dyDescent="0.35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 x14ac:dyDescent="0.35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 x14ac:dyDescent="0.35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 x14ac:dyDescent="0.35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 x14ac:dyDescent="0.35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 x14ac:dyDescent="0.35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 x14ac:dyDescent="0.35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 x14ac:dyDescent="0.35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 x14ac:dyDescent="0.35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 x14ac:dyDescent="0.35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 x14ac:dyDescent="0.35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 x14ac:dyDescent="0.35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 x14ac:dyDescent="0.35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 x14ac:dyDescent="0.35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 x14ac:dyDescent="0.35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 x14ac:dyDescent="0.35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 x14ac:dyDescent="0.35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 x14ac:dyDescent="0.35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 x14ac:dyDescent="0.35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 x14ac:dyDescent="0.35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 x14ac:dyDescent="0.35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 x14ac:dyDescent="0.35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 x14ac:dyDescent="0.35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 x14ac:dyDescent="0.35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 x14ac:dyDescent="0.35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 x14ac:dyDescent="0.35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 x14ac:dyDescent="0.35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 x14ac:dyDescent="0.35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 x14ac:dyDescent="0.35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 x14ac:dyDescent="0.35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 x14ac:dyDescent="0.35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 x14ac:dyDescent="0.35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 x14ac:dyDescent="0.35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 x14ac:dyDescent="0.35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 x14ac:dyDescent="0.35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 x14ac:dyDescent="0.35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 x14ac:dyDescent="0.35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 x14ac:dyDescent="0.35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 x14ac:dyDescent="0.35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 x14ac:dyDescent="0.35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 x14ac:dyDescent="0.35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 x14ac:dyDescent="0.35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 x14ac:dyDescent="0.35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 x14ac:dyDescent="0.35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 x14ac:dyDescent="0.35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 x14ac:dyDescent="0.35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 x14ac:dyDescent="0.35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 x14ac:dyDescent="0.35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 x14ac:dyDescent="0.35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 x14ac:dyDescent="0.35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 x14ac:dyDescent="0.35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 x14ac:dyDescent="0.35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 x14ac:dyDescent="0.35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 x14ac:dyDescent="0.35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 x14ac:dyDescent="0.35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 x14ac:dyDescent="0.35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 x14ac:dyDescent="0.35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 x14ac:dyDescent="0.35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 x14ac:dyDescent="0.35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 x14ac:dyDescent="0.35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 x14ac:dyDescent="0.35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 x14ac:dyDescent="0.35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 x14ac:dyDescent="0.35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 x14ac:dyDescent="0.35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 x14ac:dyDescent="0.35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 x14ac:dyDescent="0.35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 x14ac:dyDescent="0.35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 x14ac:dyDescent="0.35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 x14ac:dyDescent="0.35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 x14ac:dyDescent="0.35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 x14ac:dyDescent="0.35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 x14ac:dyDescent="0.35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 x14ac:dyDescent="0.35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 x14ac:dyDescent="0.35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 x14ac:dyDescent="0.35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 x14ac:dyDescent="0.35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 x14ac:dyDescent="0.35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 x14ac:dyDescent="0.35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 x14ac:dyDescent="0.35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 x14ac:dyDescent="0.35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 x14ac:dyDescent="0.35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 x14ac:dyDescent="0.35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 x14ac:dyDescent="0.35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 x14ac:dyDescent="0.35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 x14ac:dyDescent="0.35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 x14ac:dyDescent="0.35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 x14ac:dyDescent="0.35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 x14ac:dyDescent="0.35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 x14ac:dyDescent="0.35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 x14ac:dyDescent="0.35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 x14ac:dyDescent="0.35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 x14ac:dyDescent="0.35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 x14ac:dyDescent="0.35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 x14ac:dyDescent="0.35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 x14ac:dyDescent="0.35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 x14ac:dyDescent="0.35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 x14ac:dyDescent="0.35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 x14ac:dyDescent="0.35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 x14ac:dyDescent="0.35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 x14ac:dyDescent="0.35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 x14ac:dyDescent="0.35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 x14ac:dyDescent="0.35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 x14ac:dyDescent="0.35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 x14ac:dyDescent="0.35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 x14ac:dyDescent="0.35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 x14ac:dyDescent="0.35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 x14ac:dyDescent="0.35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 x14ac:dyDescent="0.35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 x14ac:dyDescent="0.35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 x14ac:dyDescent="0.35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 x14ac:dyDescent="0.35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 x14ac:dyDescent="0.35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 x14ac:dyDescent="0.35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 x14ac:dyDescent="0.35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 x14ac:dyDescent="0.35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 x14ac:dyDescent="0.35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U5220" s="1" t="s">
        <v>24</v>
      </c>
    </row>
    <row r="5221" spans="1:21" x14ac:dyDescent="0.35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 x14ac:dyDescent="0.35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 x14ac:dyDescent="0.35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 x14ac:dyDescent="0.35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 x14ac:dyDescent="0.35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 x14ac:dyDescent="0.35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 x14ac:dyDescent="0.35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 x14ac:dyDescent="0.35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 x14ac:dyDescent="0.35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 x14ac:dyDescent="0.35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 x14ac:dyDescent="0.35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 x14ac:dyDescent="0.35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 x14ac:dyDescent="0.35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 x14ac:dyDescent="0.35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 x14ac:dyDescent="0.35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 x14ac:dyDescent="0.35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 x14ac:dyDescent="0.35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 x14ac:dyDescent="0.35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 x14ac:dyDescent="0.35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 x14ac:dyDescent="0.35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 x14ac:dyDescent="0.35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 x14ac:dyDescent="0.35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 x14ac:dyDescent="0.35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 x14ac:dyDescent="0.35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 x14ac:dyDescent="0.35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 x14ac:dyDescent="0.35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 x14ac:dyDescent="0.35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 x14ac:dyDescent="0.35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 x14ac:dyDescent="0.35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 x14ac:dyDescent="0.35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 x14ac:dyDescent="0.35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 x14ac:dyDescent="0.35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 x14ac:dyDescent="0.35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 x14ac:dyDescent="0.35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 x14ac:dyDescent="0.35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 x14ac:dyDescent="0.35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 x14ac:dyDescent="0.35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 x14ac:dyDescent="0.35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 x14ac:dyDescent="0.35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 x14ac:dyDescent="0.35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 x14ac:dyDescent="0.35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 x14ac:dyDescent="0.35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 x14ac:dyDescent="0.35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 x14ac:dyDescent="0.35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 x14ac:dyDescent="0.35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 x14ac:dyDescent="0.35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 x14ac:dyDescent="0.35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 x14ac:dyDescent="0.35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 x14ac:dyDescent="0.35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 x14ac:dyDescent="0.35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 x14ac:dyDescent="0.35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 x14ac:dyDescent="0.35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 x14ac:dyDescent="0.35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 x14ac:dyDescent="0.35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 x14ac:dyDescent="0.35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 x14ac:dyDescent="0.35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 x14ac:dyDescent="0.35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 x14ac:dyDescent="0.35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 x14ac:dyDescent="0.35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 x14ac:dyDescent="0.35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 x14ac:dyDescent="0.35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 x14ac:dyDescent="0.35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 x14ac:dyDescent="0.35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 x14ac:dyDescent="0.35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 x14ac:dyDescent="0.35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 x14ac:dyDescent="0.35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 x14ac:dyDescent="0.35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 x14ac:dyDescent="0.35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 x14ac:dyDescent="0.35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 x14ac:dyDescent="0.35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 x14ac:dyDescent="0.35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 x14ac:dyDescent="0.35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 x14ac:dyDescent="0.35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 x14ac:dyDescent="0.35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 x14ac:dyDescent="0.35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 x14ac:dyDescent="0.35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 x14ac:dyDescent="0.35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 x14ac:dyDescent="0.35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 x14ac:dyDescent="0.35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 x14ac:dyDescent="0.35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 x14ac:dyDescent="0.35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 x14ac:dyDescent="0.35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 x14ac:dyDescent="0.35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 x14ac:dyDescent="0.35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 x14ac:dyDescent="0.35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 x14ac:dyDescent="0.35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 x14ac:dyDescent="0.35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 x14ac:dyDescent="0.35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 x14ac:dyDescent="0.35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 x14ac:dyDescent="0.35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 x14ac:dyDescent="0.35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 x14ac:dyDescent="0.35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 x14ac:dyDescent="0.35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 x14ac:dyDescent="0.35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 x14ac:dyDescent="0.35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 x14ac:dyDescent="0.35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 x14ac:dyDescent="0.35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 x14ac:dyDescent="0.35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 x14ac:dyDescent="0.35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 x14ac:dyDescent="0.35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 x14ac:dyDescent="0.35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 x14ac:dyDescent="0.35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 x14ac:dyDescent="0.35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 x14ac:dyDescent="0.35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 x14ac:dyDescent="0.35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 x14ac:dyDescent="0.35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 x14ac:dyDescent="0.35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 x14ac:dyDescent="0.35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 x14ac:dyDescent="0.35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 x14ac:dyDescent="0.35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 x14ac:dyDescent="0.35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 x14ac:dyDescent="0.35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 x14ac:dyDescent="0.35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 x14ac:dyDescent="0.35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 x14ac:dyDescent="0.35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 x14ac:dyDescent="0.35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 x14ac:dyDescent="0.35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 x14ac:dyDescent="0.35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 x14ac:dyDescent="0.35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 x14ac:dyDescent="0.35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 x14ac:dyDescent="0.35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 x14ac:dyDescent="0.35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 x14ac:dyDescent="0.35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 x14ac:dyDescent="0.35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 x14ac:dyDescent="0.35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 x14ac:dyDescent="0.35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 x14ac:dyDescent="0.35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 x14ac:dyDescent="0.35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 x14ac:dyDescent="0.35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 x14ac:dyDescent="0.35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 x14ac:dyDescent="0.35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 x14ac:dyDescent="0.35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 x14ac:dyDescent="0.35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 x14ac:dyDescent="0.35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 x14ac:dyDescent="0.35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 x14ac:dyDescent="0.35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 x14ac:dyDescent="0.35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 x14ac:dyDescent="0.35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 x14ac:dyDescent="0.35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 x14ac:dyDescent="0.35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 x14ac:dyDescent="0.35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 x14ac:dyDescent="0.35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 x14ac:dyDescent="0.35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 x14ac:dyDescent="0.35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 x14ac:dyDescent="0.35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 x14ac:dyDescent="0.35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 x14ac:dyDescent="0.35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 x14ac:dyDescent="0.35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 x14ac:dyDescent="0.35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 x14ac:dyDescent="0.35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 x14ac:dyDescent="0.35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 x14ac:dyDescent="0.35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 x14ac:dyDescent="0.35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 x14ac:dyDescent="0.35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 x14ac:dyDescent="0.35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 x14ac:dyDescent="0.35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 x14ac:dyDescent="0.35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 x14ac:dyDescent="0.35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 x14ac:dyDescent="0.35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 x14ac:dyDescent="0.35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 x14ac:dyDescent="0.35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 x14ac:dyDescent="0.35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 x14ac:dyDescent="0.35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 x14ac:dyDescent="0.35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 x14ac:dyDescent="0.35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 x14ac:dyDescent="0.35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 x14ac:dyDescent="0.35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 x14ac:dyDescent="0.35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 x14ac:dyDescent="0.35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 x14ac:dyDescent="0.35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 x14ac:dyDescent="0.35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 x14ac:dyDescent="0.35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 x14ac:dyDescent="0.35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 x14ac:dyDescent="0.35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 x14ac:dyDescent="0.35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 x14ac:dyDescent="0.35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 x14ac:dyDescent="0.35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 x14ac:dyDescent="0.35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 x14ac:dyDescent="0.35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 x14ac:dyDescent="0.35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 x14ac:dyDescent="0.35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 x14ac:dyDescent="0.35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 x14ac:dyDescent="0.35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 x14ac:dyDescent="0.35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 x14ac:dyDescent="0.35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 x14ac:dyDescent="0.35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 x14ac:dyDescent="0.35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 x14ac:dyDescent="0.35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 x14ac:dyDescent="0.35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 x14ac:dyDescent="0.35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 x14ac:dyDescent="0.35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 x14ac:dyDescent="0.35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 x14ac:dyDescent="0.35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 x14ac:dyDescent="0.35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 x14ac:dyDescent="0.35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 x14ac:dyDescent="0.35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 x14ac:dyDescent="0.35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 x14ac:dyDescent="0.35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 x14ac:dyDescent="0.35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 x14ac:dyDescent="0.35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 x14ac:dyDescent="0.35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 x14ac:dyDescent="0.35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 x14ac:dyDescent="0.35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 x14ac:dyDescent="0.35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 x14ac:dyDescent="0.35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 x14ac:dyDescent="0.35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 x14ac:dyDescent="0.35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 x14ac:dyDescent="0.35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 x14ac:dyDescent="0.35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 x14ac:dyDescent="0.35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 x14ac:dyDescent="0.35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 x14ac:dyDescent="0.35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 x14ac:dyDescent="0.35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 x14ac:dyDescent="0.35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 x14ac:dyDescent="0.35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 x14ac:dyDescent="0.35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 x14ac:dyDescent="0.35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 x14ac:dyDescent="0.35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 x14ac:dyDescent="0.35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 x14ac:dyDescent="0.35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 x14ac:dyDescent="0.35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 x14ac:dyDescent="0.35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 x14ac:dyDescent="0.35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 x14ac:dyDescent="0.35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 x14ac:dyDescent="0.35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 x14ac:dyDescent="0.35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 x14ac:dyDescent="0.35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 x14ac:dyDescent="0.35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 x14ac:dyDescent="0.35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 x14ac:dyDescent="0.35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 x14ac:dyDescent="0.35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 x14ac:dyDescent="0.35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 x14ac:dyDescent="0.35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 x14ac:dyDescent="0.35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 x14ac:dyDescent="0.35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 x14ac:dyDescent="0.35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 x14ac:dyDescent="0.35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 x14ac:dyDescent="0.35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 x14ac:dyDescent="0.35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 x14ac:dyDescent="0.35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 x14ac:dyDescent="0.35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 x14ac:dyDescent="0.35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 x14ac:dyDescent="0.35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 x14ac:dyDescent="0.35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 x14ac:dyDescent="0.35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 x14ac:dyDescent="0.35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 x14ac:dyDescent="0.35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 x14ac:dyDescent="0.35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 x14ac:dyDescent="0.35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 x14ac:dyDescent="0.35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 x14ac:dyDescent="0.35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 x14ac:dyDescent="0.35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 x14ac:dyDescent="0.35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 x14ac:dyDescent="0.35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 x14ac:dyDescent="0.35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 x14ac:dyDescent="0.35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 x14ac:dyDescent="0.35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 x14ac:dyDescent="0.35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 x14ac:dyDescent="0.35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 x14ac:dyDescent="0.35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 x14ac:dyDescent="0.35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 x14ac:dyDescent="0.35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 x14ac:dyDescent="0.35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 x14ac:dyDescent="0.35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 x14ac:dyDescent="0.35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 x14ac:dyDescent="0.35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 x14ac:dyDescent="0.35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 x14ac:dyDescent="0.35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 x14ac:dyDescent="0.35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 x14ac:dyDescent="0.35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 x14ac:dyDescent="0.35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 x14ac:dyDescent="0.35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 x14ac:dyDescent="0.35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 x14ac:dyDescent="0.35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 x14ac:dyDescent="0.35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 x14ac:dyDescent="0.35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 x14ac:dyDescent="0.35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 x14ac:dyDescent="0.35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 x14ac:dyDescent="0.35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 x14ac:dyDescent="0.35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 x14ac:dyDescent="0.35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 x14ac:dyDescent="0.35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 x14ac:dyDescent="0.35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 x14ac:dyDescent="0.35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 x14ac:dyDescent="0.35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 x14ac:dyDescent="0.35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 x14ac:dyDescent="0.35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 x14ac:dyDescent="0.35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 x14ac:dyDescent="0.35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 x14ac:dyDescent="0.35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 x14ac:dyDescent="0.35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 x14ac:dyDescent="0.35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 x14ac:dyDescent="0.35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 x14ac:dyDescent="0.35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 x14ac:dyDescent="0.35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 x14ac:dyDescent="0.35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 x14ac:dyDescent="0.35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 x14ac:dyDescent="0.35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 x14ac:dyDescent="0.35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 x14ac:dyDescent="0.35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 x14ac:dyDescent="0.35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 x14ac:dyDescent="0.35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 x14ac:dyDescent="0.35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 x14ac:dyDescent="0.35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 x14ac:dyDescent="0.35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 x14ac:dyDescent="0.35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 x14ac:dyDescent="0.35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 x14ac:dyDescent="0.35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 x14ac:dyDescent="0.35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 x14ac:dyDescent="0.35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 x14ac:dyDescent="0.35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 x14ac:dyDescent="0.35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 x14ac:dyDescent="0.35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 x14ac:dyDescent="0.35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 x14ac:dyDescent="0.35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 x14ac:dyDescent="0.35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 x14ac:dyDescent="0.35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 x14ac:dyDescent="0.35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 x14ac:dyDescent="0.35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 x14ac:dyDescent="0.35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 x14ac:dyDescent="0.35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 x14ac:dyDescent="0.35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 x14ac:dyDescent="0.35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 x14ac:dyDescent="0.35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 x14ac:dyDescent="0.35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 x14ac:dyDescent="0.35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 x14ac:dyDescent="0.35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 x14ac:dyDescent="0.35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 x14ac:dyDescent="0.35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 x14ac:dyDescent="0.35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 x14ac:dyDescent="0.35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 x14ac:dyDescent="0.35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 x14ac:dyDescent="0.35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 x14ac:dyDescent="0.35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 x14ac:dyDescent="0.35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 x14ac:dyDescent="0.35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 x14ac:dyDescent="0.35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 x14ac:dyDescent="0.35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 x14ac:dyDescent="0.35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 x14ac:dyDescent="0.35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 x14ac:dyDescent="0.35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 x14ac:dyDescent="0.35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 x14ac:dyDescent="0.35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 x14ac:dyDescent="0.35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 x14ac:dyDescent="0.35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 x14ac:dyDescent="0.35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 x14ac:dyDescent="0.35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 x14ac:dyDescent="0.35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 x14ac:dyDescent="0.35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 x14ac:dyDescent="0.35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 x14ac:dyDescent="0.35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 x14ac:dyDescent="0.35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 x14ac:dyDescent="0.35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 x14ac:dyDescent="0.35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 x14ac:dyDescent="0.35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 x14ac:dyDescent="0.35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 x14ac:dyDescent="0.35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 x14ac:dyDescent="0.35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 x14ac:dyDescent="0.35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 x14ac:dyDescent="0.35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 x14ac:dyDescent="0.35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 x14ac:dyDescent="0.35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 x14ac:dyDescent="0.35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 x14ac:dyDescent="0.35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 x14ac:dyDescent="0.35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 x14ac:dyDescent="0.35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 x14ac:dyDescent="0.35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 x14ac:dyDescent="0.35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 x14ac:dyDescent="0.35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 x14ac:dyDescent="0.35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 x14ac:dyDescent="0.35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 x14ac:dyDescent="0.35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 x14ac:dyDescent="0.35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 x14ac:dyDescent="0.35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 x14ac:dyDescent="0.35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 x14ac:dyDescent="0.35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 x14ac:dyDescent="0.35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 x14ac:dyDescent="0.35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 x14ac:dyDescent="0.35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 x14ac:dyDescent="0.35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 x14ac:dyDescent="0.35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 x14ac:dyDescent="0.35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 x14ac:dyDescent="0.35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 x14ac:dyDescent="0.35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 x14ac:dyDescent="0.35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 x14ac:dyDescent="0.35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 x14ac:dyDescent="0.35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 x14ac:dyDescent="0.35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 x14ac:dyDescent="0.35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 x14ac:dyDescent="0.35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 x14ac:dyDescent="0.35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 x14ac:dyDescent="0.35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 x14ac:dyDescent="0.35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 x14ac:dyDescent="0.35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 x14ac:dyDescent="0.35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 x14ac:dyDescent="0.35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 x14ac:dyDescent="0.35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 x14ac:dyDescent="0.35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 x14ac:dyDescent="0.35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 x14ac:dyDescent="0.35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 x14ac:dyDescent="0.35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 x14ac:dyDescent="0.35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 x14ac:dyDescent="0.35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 x14ac:dyDescent="0.35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 x14ac:dyDescent="0.35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 x14ac:dyDescent="0.35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 x14ac:dyDescent="0.35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 x14ac:dyDescent="0.35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 x14ac:dyDescent="0.35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 x14ac:dyDescent="0.35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 x14ac:dyDescent="0.35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 x14ac:dyDescent="0.35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 x14ac:dyDescent="0.35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 x14ac:dyDescent="0.35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 x14ac:dyDescent="0.35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 x14ac:dyDescent="0.35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 x14ac:dyDescent="0.35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 x14ac:dyDescent="0.35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 x14ac:dyDescent="0.35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 x14ac:dyDescent="0.35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 x14ac:dyDescent="0.35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 x14ac:dyDescent="0.35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 x14ac:dyDescent="0.35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 x14ac:dyDescent="0.35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 x14ac:dyDescent="0.35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 x14ac:dyDescent="0.35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 x14ac:dyDescent="0.35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 x14ac:dyDescent="0.35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 x14ac:dyDescent="0.35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 x14ac:dyDescent="0.35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 x14ac:dyDescent="0.35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 x14ac:dyDescent="0.35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 x14ac:dyDescent="0.35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 x14ac:dyDescent="0.35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 x14ac:dyDescent="0.35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 x14ac:dyDescent="0.35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 x14ac:dyDescent="0.35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 x14ac:dyDescent="0.35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 x14ac:dyDescent="0.35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 x14ac:dyDescent="0.35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 x14ac:dyDescent="0.35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 x14ac:dyDescent="0.35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 x14ac:dyDescent="0.35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 x14ac:dyDescent="0.35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 x14ac:dyDescent="0.35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 x14ac:dyDescent="0.35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 x14ac:dyDescent="0.35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 x14ac:dyDescent="0.35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 x14ac:dyDescent="0.35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 x14ac:dyDescent="0.35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 x14ac:dyDescent="0.35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 x14ac:dyDescent="0.35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 x14ac:dyDescent="0.35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 x14ac:dyDescent="0.35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 x14ac:dyDescent="0.35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 x14ac:dyDescent="0.35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 x14ac:dyDescent="0.35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 x14ac:dyDescent="0.35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 x14ac:dyDescent="0.35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 x14ac:dyDescent="0.35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 x14ac:dyDescent="0.35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 x14ac:dyDescent="0.35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 x14ac:dyDescent="0.35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 x14ac:dyDescent="0.35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 x14ac:dyDescent="0.35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 x14ac:dyDescent="0.35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 x14ac:dyDescent="0.35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 x14ac:dyDescent="0.35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 x14ac:dyDescent="0.35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 x14ac:dyDescent="0.35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 x14ac:dyDescent="0.35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 x14ac:dyDescent="0.35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 x14ac:dyDescent="0.35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 x14ac:dyDescent="0.35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 x14ac:dyDescent="0.35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 x14ac:dyDescent="0.35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 x14ac:dyDescent="0.35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 x14ac:dyDescent="0.35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 x14ac:dyDescent="0.35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 x14ac:dyDescent="0.35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 x14ac:dyDescent="0.35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 x14ac:dyDescent="0.35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 x14ac:dyDescent="0.35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 x14ac:dyDescent="0.35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 x14ac:dyDescent="0.35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 x14ac:dyDescent="0.35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 x14ac:dyDescent="0.35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 x14ac:dyDescent="0.35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 x14ac:dyDescent="0.35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 x14ac:dyDescent="0.35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 x14ac:dyDescent="0.35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 x14ac:dyDescent="0.35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 x14ac:dyDescent="0.35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 x14ac:dyDescent="0.35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 x14ac:dyDescent="0.35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 x14ac:dyDescent="0.35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 x14ac:dyDescent="0.35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 x14ac:dyDescent="0.35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 x14ac:dyDescent="0.35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 x14ac:dyDescent="0.35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 x14ac:dyDescent="0.35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 x14ac:dyDescent="0.35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 x14ac:dyDescent="0.35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 x14ac:dyDescent="0.35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 x14ac:dyDescent="0.35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 x14ac:dyDescent="0.35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 x14ac:dyDescent="0.35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 x14ac:dyDescent="0.35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 x14ac:dyDescent="0.35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 x14ac:dyDescent="0.35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 x14ac:dyDescent="0.35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 x14ac:dyDescent="0.35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 x14ac:dyDescent="0.35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 x14ac:dyDescent="0.35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 x14ac:dyDescent="0.35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 x14ac:dyDescent="0.35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 x14ac:dyDescent="0.35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 x14ac:dyDescent="0.35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 x14ac:dyDescent="0.35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 x14ac:dyDescent="0.35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 x14ac:dyDescent="0.35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 x14ac:dyDescent="0.35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 x14ac:dyDescent="0.35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 x14ac:dyDescent="0.35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 x14ac:dyDescent="0.35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 x14ac:dyDescent="0.35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 x14ac:dyDescent="0.35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 x14ac:dyDescent="0.35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 x14ac:dyDescent="0.35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 x14ac:dyDescent="0.35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 x14ac:dyDescent="0.35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 x14ac:dyDescent="0.35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 x14ac:dyDescent="0.35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 x14ac:dyDescent="0.35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 x14ac:dyDescent="0.35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 x14ac:dyDescent="0.35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 x14ac:dyDescent="0.35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 x14ac:dyDescent="0.35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 x14ac:dyDescent="0.35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 x14ac:dyDescent="0.35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 x14ac:dyDescent="0.35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 x14ac:dyDescent="0.35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 x14ac:dyDescent="0.35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 x14ac:dyDescent="0.35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 x14ac:dyDescent="0.35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 x14ac:dyDescent="0.35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 x14ac:dyDescent="0.35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 x14ac:dyDescent="0.35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 x14ac:dyDescent="0.35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 x14ac:dyDescent="0.35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 x14ac:dyDescent="0.35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 x14ac:dyDescent="0.35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 x14ac:dyDescent="0.35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 x14ac:dyDescent="0.35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 x14ac:dyDescent="0.35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 x14ac:dyDescent="0.35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 x14ac:dyDescent="0.35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 x14ac:dyDescent="0.35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 x14ac:dyDescent="0.35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 x14ac:dyDescent="0.35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 x14ac:dyDescent="0.35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 x14ac:dyDescent="0.35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 x14ac:dyDescent="0.35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 x14ac:dyDescent="0.35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 x14ac:dyDescent="0.35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 x14ac:dyDescent="0.35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 x14ac:dyDescent="0.35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 x14ac:dyDescent="0.35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 x14ac:dyDescent="0.35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 x14ac:dyDescent="0.35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 x14ac:dyDescent="0.35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 x14ac:dyDescent="0.35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 x14ac:dyDescent="0.35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 x14ac:dyDescent="0.35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 x14ac:dyDescent="0.35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 x14ac:dyDescent="0.35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 x14ac:dyDescent="0.35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 x14ac:dyDescent="0.35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 x14ac:dyDescent="0.35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 x14ac:dyDescent="0.35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 x14ac:dyDescent="0.35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 x14ac:dyDescent="0.35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 x14ac:dyDescent="0.35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 x14ac:dyDescent="0.35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 x14ac:dyDescent="0.35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 x14ac:dyDescent="0.35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 x14ac:dyDescent="0.35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 x14ac:dyDescent="0.35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 x14ac:dyDescent="0.35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 x14ac:dyDescent="0.35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 x14ac:dyDescent="0.35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 x14ac:dyDescent="0.35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 x14ac:dyDescent="0.35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 x14ac:dyDescent="0.35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 x14ac:dyDescent="0.35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 x14ac:dyDescent="0.35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 x14ac:dyDescent="0.35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 x14ac:dyDescent="0.35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 x14ac:dyDescent="0.35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 x14ac:dyDescent="0.35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 x14ac:dyDescent="0.35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 x14ac:dyDescent="0.35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 x14ac:dyDescent="0.35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 x14ac:dyDescent="0.35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 x14ac:dyDescent="0.35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 x14ac:dyDescent="0.35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 x14ac:dyDescent="0.35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 x14ac:dyDescent="0.35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 x14ac:dyDescent="0.35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 x14ac:dyDescent="0.35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 x14ac:dyDescent="0.35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 x14ac:dyDescent="0.35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 x14ac:dyDescent="0.35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 x14ac:dyDescent="0.35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 x14ac:dyDescent="0.35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 x14ac:dyDescent="0.35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 x14ac:dyDescent="0.35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 x14ac:dyDescent="0.35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 x14ac:dyDescent="0.35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 x14ac:dyDescent="0.35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 x14ac:dyDescent="0.35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 x14ac:dyDescent="0.35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 x14ac:dyDescent="0.35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 x14ac:dyDescent="0.35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 x14ac:dyDescent="0.35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 x14ac:dyDescent="0.35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 x14ac:dyDescent="0.35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 x14ac:dyDescent="0.35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 x14ac:dyDescent="0.35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 x14ac:dyDescent="0.35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 x14ac:dyDescent="0.35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 x14ac:dyDescent="0.35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 x14ac:dyDescent="0.35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 x14ac:dyDescent="0.35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 x14ac:dyDescent="0.35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 x14ac:dyDescent="0.35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 x14ac:dyDescent="0.35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 x14ac:dyDescent="0.35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 x14ac:dyDescent="0.35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 x14ac:dyDescent="0.35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 x14ac:dyDescent="0.35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 x14ac:dyDescent="0.35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 x14ac:dyDescent="0.35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 x14ac:dyDescent="0.35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 x14ac:dyDescent="0.35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 x14ac:dyDescent="0.35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 x14ac:dyDescent="0.35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 x14ac:dyDescent="0.35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 x14ac:dyDescent="0.35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 x14ac:dyDescent="0.35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 x14ac:dyDescent="0.35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 x14ac:dyDescent="0.35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 x14ac:dyDescent="0.35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 x14ac:dyDescent="0.35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 x14ac:dyDescent="0.35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 x14ac:dyDescent="0.35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 x14ac:dyDescent="0.35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 x14ac:dyDescent="0.35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 x14ac:dyDescent="0.35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 x14ac:dyDescent="0.35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 x14ac:dyDescent="0.35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 x14ac:dyDescent="0.35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 x14ac:dyDescent="0.35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 x14ac:dyDescent="0.35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 x14ac:dyDescent="0.35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 x14ac:dyDescent="0.35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 x14ac:dyDescent="0.35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 x14ac:dyDescent="0.35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 x14ac:dyDescent="0.35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 x14ac:dyDescent="0.35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 x14ac:dyDescent="0.35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 x14ac:dyDescent="0.35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 x14ac:dyDescent="0.35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 x14ac:dyDescent="0.35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 x14ac:dyDescent="0.35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 x14ac:dyDescent="0.35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 x14ac:dyDescent="0.35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 x14ac:dyDescent="0.35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 x14ac:dyDescent="0.35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 x14ac:dyDescent="0.35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 x14ac:dyDescent="0.35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 x14ac:dyDescent="0.35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 x14ac:dyDescent="0.35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 x14ac:dyDescent="0.35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 x14ac:dyDescent="0.35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 x14ac:dyDescent="0.35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 x14ac:dyDescent="0.35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 x14ac:dyDescent="0.35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 x14ac:dyDescent="0.35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 x14ac:dyDescent="0.35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 x14ac:dyDescent="0.35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 x14ac:dyDescent="0.35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 x14ac:dyDescent="0.35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 x14ac:dyDescent="0.35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 x14ac:dyDescent="0.35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 x14ac:dyDescent="0.35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 x14ac:dyDescent="0.35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 x14ac:dyDescent="0.35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 x14ac:dyDescent="0.35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 x14ac:dyDescent="0.35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 x14ac:dyDescent="0.35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 x14ac:dyDescent="0.35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 x14ac:dyDescent="0.35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 x14ac:dyDescent="0.35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 x14ac:dyDescent="0.35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 x14ac:dyDescent="0.35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 x14ac:dyDescent="0.35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 x14ac:dyDescent="0.35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 x14ac:dyDescent="0.35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 x14ac:dyDescent="0.35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 x14ac:dyDescent="0.35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 x14ac:dyDescent="0.35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 x14ac:dyDescent="0.35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 x14ac:dyDescent="0.35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 x14ac:dyDescent="0.35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 x14ac:dyDescent="0.35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 x14ac:dyDescent="0.35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 x14ac:dyDescent="0.35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 x14ac:dyDescent="0.35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 x14ac:dyDescent="0.35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 x14ac:dyDescent="0.35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 x14ac:dyDescent="0.35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 x14ac:dyDescent="0.35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 x14ac:dyDescent="0.35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 x14ac:dyDescent="0.35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 x14ac:dyDescent="0.35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 x14ac:dyDescent="0.35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 x14ac:dyDescent="0.35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 x14ac:dyDescent="0.35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 x14ac:dyDescent="0.35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 x14ac:dyDescent="0.35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 x14ac:dyDescent="0.35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 x14ac:dyDescent="0.35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 x14ac:dyDescent="0.35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 x14ac:dyDescent="0.35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 x14ac:dyDescent="0.35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 x14ac:dyDescent="0.35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 x14ac:dyDescent="0.35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 x14ac:dyDescent="0.35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 x14ac:dyDescent="0.35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 x14ac:dyDescent="0.35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 x14ac:dyDescent="0.35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 x14ac:dyDescent="0.35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 x14ac:dyDescent="0.35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 x14ac:dyDescent="0.35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 x14ac:dyDescent="0.35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 x14ac:dyDescent="0.35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 x14ac:dyDescent="0.35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 x14ac:dyDescent="0.35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 x14ac:dyDescent="0.35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 x14ac:dyDescent="0.35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 x14ac:dyDescent="0.35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 x14ac:dyDescent="0.35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 x14ac:dyDescent="0.35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 x14ac:dyDescent="0.35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 x14ac:dyDescent="0.35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 x14ac:dyDescent="0.35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 x14ac:dyDescent="0.35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 x14ac:dyDescent="0.35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 x14ac:dyDescent="0.35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 x14ac:dyDescent="0.35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 x14ac:dyDescent="0.35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 x14ac:dyDescent="0.35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 x14ac:dyDescent="0.35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 x14ac:dyDescent="0.35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 x14ac:dyDescent="0.35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 x14ac:dyDescent="0.35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 x14ac:dyDescent="0.35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 x14ac:dyDescent="0.35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 x14ac:dyDescent="0.35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 x14ac:dyDescent="0.35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 x14ac:dyDescent="0.35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 x14ac:dyDescent="0.35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 x14ac:dyDescent="0.35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 x14ac:dyDescent="0.35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 x14ac:dyDescent="0.35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 x14ac:dyDescent="0.35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 x14ac:dyDescent="0.35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 x14ac:dyDescent="0.35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 x14ac:dyDescent="0.35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 x14ac:dyDescent="0.35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 x14ac:dyDescent="0.35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 x14ac:dyDescent="0.35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 x14ac:dyDescent="0.35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 x14ac:dyDescent="0.35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 x14ac:dyDescent="0.35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 x14ac:dyDescent="0.35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 x14ac:dyDescent="0.35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 x14ac:dyDescent="0.35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 x14ac:dyDescent="0.35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 x14ac:dyDescent="0.35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 x14ac:dyDescent="0.35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 x14ac:dyDescent="0.35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 x14ac:dyDescent="0.35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 x14ac:dyDescent="0.35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 x14ac:dyDescent="0.35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 x14ac:dyDescent="0.35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 x14ac:dyDescent="0.35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 x14ac:dyDescent="0.35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 x14ac:dyDescent="0.35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 x14ac:dyDescent="0.35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 x14ac:dyDescent="0.35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 x14ac:dyDescent="0.35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 x14ac:dyDescent="0.35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 x14ac:dyDescent="0.35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 x14ac:dyDescent="0.35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 x14ac:dyDescent="0.35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 x14ac:dyDescent="0.35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 x14ac:dyDescent="0.35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 x14ac:dyDescent="0.35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 x14ac:dyDescent="0.35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 x14ac:dyDescent="0.35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 x14ac:dyDescent="0.35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 x14ac:dyDescent="0.35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 x14ac:dyDescent="0.35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 x14ac:dyDescent="0.35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 x14ac:dyDescent="0.35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 x14ac:dyDescent="0.35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 x14ac:dyDescent="0.35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 x14ac:dyDescent="0.35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 x14ac:dyDescent="0.35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 x14ac:dyDescent="0.35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 x14ac:dyDescent="0.35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 x14ac:dyDescent="0.35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 x14ac:dyDescent="0.35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 x14ac:dyDescent="0.35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 x14ac:dyDescent="0.35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 x14ac:dyDescent="0.35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 x14ac:dyDescent="0.35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 x14ac:dyDescent="0.35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 x14ac:dyDescent="0.35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 x14ac:dyDescent="0.35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 x14ac:dyDescent="0.35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 x14ac:dyDescent="0.35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 x14ac:dyDescent="0.35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 x14ac:dyDescent="0.35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 x14ac:dyDescent="0.35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 x14ac:dyDescent="0.35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 x14ac:dyDescent="0.35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 x14ac:dyDescent="0.35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 x14ac:dyDescent="0.35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 x14ac:dyDescent="0.35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 x14ac:dyDescent="0.35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 x14ac:dyDescent="0.35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 x14ac:dyDescent="0.35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 x14ac:dyDescent="0.35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 x14ac:dyDescent="0.35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 x14ac:dyDescent="0.35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 x14ac:dyDescent="0.35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 x14ac:dyDescent="0.35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 x14ac:dyDescent="0.35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 x14ac:dyDescent="0.35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 x14ac:dyDescent="0.35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 x14ac:dyDescent="0.35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 x14ac:dyDescent="0.35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 x14ac:dyDescent="0.35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 x14ac:dyDescent="0.35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 x14ac:dyDescent="0.35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 x14ac:dyDescent="0.35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 x14ac:dyDescent="0.35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 x14ac:dyDescent="0.35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 x14ac:dyDescent="0.35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 x14ac:dyDescent="0.35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 x14ac:dyDescent="0.35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 x14ac:dyDescent="0.35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 x14ac:dyDescent="0.35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 x14ac:dyDescent="0.35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 x14ac:dyDescent="0.35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 x14ac:dyDescent="0.35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 x14ac:dyDescent="0.35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 x14ac:dyDescent="0.35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 x14ac:dyDescent="0.35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 x14ac:dyDescent="0.35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 x14ac:dyDescent="0.35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 x14ac:dyDescent="0.35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 x14ac:dyDescent="0.35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 x14ac:dyDescent="0.35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 x14ac:dyDescent="0.35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 x14ac:dyDescent="0.35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 x14ac:dyDescent="0.35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 x14ac:dyDescent="0.35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 x14ac:dyDescent="0.35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 x14ac:dyDescent="0.35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 x14ac:dyDescent="0.35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 x14ac:dyDescent="0.35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 x14ac:dyDescent="0.35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 x14ac:dyDescent="0.35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 x14ac:dyDescent="0.35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 x14ac:dyDescent="0.35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 x14ac:dyDescent="0.35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 x14ac:dyDescent="0.35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 x14ac:dyDescent="0.35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 x14ac:dyDescent="0.35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 x14ac:dyDescent="0.35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 x14ac:dyDescent="0.35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 x14ac:dyDescent="0.35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 x14ac:dyDescent="0.35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 x14ac:dyDescent="0.35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 x14ac:dyDescent="0.35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 x14ac:dyDescent="0.35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 x14ac:dyDescent="0.35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 x14ac:dyDescent="0.35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 x14ac:dyDescent="0.35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 x14ac:dyDescent="0.35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 x14ac:dyDescent="0.35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 x14ac:dyDescent="0.35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 x14ac:dyDescent="0.35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 x14ac:dyDescent="0.35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 x14ac:dyDescent="0.35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 x14ac:dyDescent="0.35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 x14ac:dyDescent="0.35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 x14ac:dyDescent="0.35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 x14ac:dyDescent="0.35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 x14ac:dyDescent="0.35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 x14ac:dyDescent="0.35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 x14ac:dyDescent="0.35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 x14ac:dyDescent="0.35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 x14ac:dyDescent="0.35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 x14ac:dyDescent="0.35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 x14ac:dyDescent="0.35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 x14ac:dyDescent="0.35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 x14ac:dyDescent="0.35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 x14ac:dyDescent="0.35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 x14ac:dyDescent="0.35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 x14ac:dyDescent="0.35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 x14ac:dyDescent="0.35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 x14ac:dyDescent="0.35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 x14ac:dyDescent="0.35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 x14ac:dyDescent="0.35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 x14ac:dyDescent="0.35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 x14ac:dyDescent="0.35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 x14ac:dyDescent="0.35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 x14ac:dyDescent="0.35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 x14ac:dyDescent="0.35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 x14ac:dyDescent="0.35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 x14ac:dyDescent="0.35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 x14ac:dyDescent="0.35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 x14ac:dyDescent="0.35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 x14ac:dyDescent="0.35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 x14ac:dyDescent="0.35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 x14ac:dyDescent="0.35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 x14ac:dyDescent="0.35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 x14ac:dyDescent="0.35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 x14ac:dyDescent="0.35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 x14ac:dyDescent="0.35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 x14ac:dyDescent="0.35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 x14ac:dyDescent="0.35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 x14ac:dyDescent="0.35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 x14ac:dyDescent="0.35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 x14ac:dyDescent="0.35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 x14ac:dyDescent="0.35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 x14ac:dyDescent="0.35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 x14ac:dyDescent="0.35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 x14ac:dyDescent="0.35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 x14ac:dyDescent="0.35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 x14ac:dyDescent="0.35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 x14ac:dyDescent="0.35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 x14ac:dyDescent="0.35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 x14ac:dyDescent="0.35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 x14ac:dyDescent="0.35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 x14ac:dyDescent="0.35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 x14ac:dyDescent="0.35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 x14ac:dyDescent="0.35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 x14ac:dyDescent="0.35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 x14ac:dyDescent="0.35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 x14ac:dyDescent="0.35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 x14ac:dyDescent="0.35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 x14ac:dyDescent="0.35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 x14ac:dyDescent="0.35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 x14ac:dyDescent="0.35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 x14ac:dyDescent="0.35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 x14ac:dyDescent="0.35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 x14ac:dyDescent="0.35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 x14ac:dyDescent="0.35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 x14ac:dyDescent="0.35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 x14ac:dyDescent="0.35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 x14ac:dyDescent="0.35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 x14ac:dyDescent="0.35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 x14ac:dyDescent="0.35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 x14ac:dyDescent="0.35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 x14ac:dyDescent="0.35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 x14ac:dyDescent="0.35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 x14ac:dyDescent="0.35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 x14ac:dyDescent="0.35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 x14ac:dyDescent="0.35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 x14ac:dyDescent="0.35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 x14ac:dyDescent="0.35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 x14ac:dyDescent="0.35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 x14ac:dyDescent="0.35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 x14ac:dyDescent="0.35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 x14ac:dyDescent="0.35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 x14ac:dyDescent="0.35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 x14ac:dyDescent="0.35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 x14ac:dyDescent="0.35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 x14ac:dyDescent="0.35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 x14ac:dyDescent="0.35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 x14ac:dyDescent="0.35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 x14ac:dyDescent="0.35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 x14ac:dyDescent="0.35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 x14ac:dyDescent="0.35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 x14ac:dyDescent="0.35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 x14ac:dyDescent="0.35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 x14ac:dyDescent="0.35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 x14ac:dyDescent="0.35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 x14ac:dyDescent="0.35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 x14ac:dyDescent="0.35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 x14ac:dyDescent="0.35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 x14ac:dyDescent="0.35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 x14ac:dyDescent="0.35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 x14ac:dyDescent="0.35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 x14ac:dyDescent="0.35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 x14ac:dyDescent="0.35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 x14ac:dyDescent="0.35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 x14ac:dyDescent="0.35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 x14ac:dyDescent="0.35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 x14ac:dyDescent="0.35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 x14ac:dyDescent="0.35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 x14ac:dyDescent="0.35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 x14ac:dyDescent="0.35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 x14ac:dyDescent="0.35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 x14ac:dyDescent="0.35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 x14ac:dyDescent="0.35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 x14ac:dyDescent="0.35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 x14ac:dyDescent="0.35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 x14ac:dyDescent="0.35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 x14ac:dyDescent="0.35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 x14ac:dyDescent="0.35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 x14ac:dyDescent="0.35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 x14ac:dyDescent="0.35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 x14ac:dyDescent="0.35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 x14ac:dyDescent="0.35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 x14ac:dyDescent="0.35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 x14ac:dyDescent="0.35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 x14ac:dyDescent="0.35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 x14ac:dyDescent="0.35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 x14ac:dyDescent="0.35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 x14ac:dyDescent="0.35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 x14ac:dyDescent="0.35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 x14ac:dyDescent="0.35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 x14ac:dyDescent="0.35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 x14ac:dyDescent="0.35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 x14ac:dyDescent="0.35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 x14ac:dyDescent="0.35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 x14ac:dyDescent="0.35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 x14ac:dyDescent="0.35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 x14ac:dyDescent="0.35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 x14ac:dyDescent="0.35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 x14ac:dyDescent="0.35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 x14ac:dyDescent="0.35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 x14ac:dyDescent="0.35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 x14ac:dyDescent="0.35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 x14ac:dyDescent="0.35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 x14ac:dyDescent="0.35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 x14ac:dyDescent="0.35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 x14ac:dyDescent="0.35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 x14ac:dyDescent="0.35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 x14ac:dyDescent="0.35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 x14ac:dyDescent="0.35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 x14ac:dyDescent="0.35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 x14ac:dyDescent="0.35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 x14ac:dyDescent="0.35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 x14ac:dyDescent="0.35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 x14ac:dyDescent="0.35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 x14ac:dyDescent="0.35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 x14ac:dyDescent="0.35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 x14ac:dyDescent="0.35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 x14ac:dyDescent="0.35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 x14ac:dyDescent="0.35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 x14ac:dyDescent="0.35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 x14ac:dyDescent="0.35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 x14ac:dyDescent="0.35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 x14ac:dyDescent="0.35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 x14ac:dyDescent="0.35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 x14ac:dyDescent="0.35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 x14ac:dyDescent="0.35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 x14ac:dyDescent="0.35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 x14ac:dyDescent="0.35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 x14ac:dyDescent="0.35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 x14ac:dyDescent="0.35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 x14ac:dyDescent="0.35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 x14ac:dyDescent="0.35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 x14ac:dyDescent="0.35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 x14ac:dyDescent="0.35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 x14ac:dyDescent="0.35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 x14ac:dyDescent="0.35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 x14ac:dyDescent="0.35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 x14ac:dyDescent="0.35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 x14ac:dyDescent="0.35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 x14ac:dyDescent="0.35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 x14ac:dyDescent="0.35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 x14ac:dyDescent="0.35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 x14ac:dyDescent="0.35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 x14ac:dyDescent="0.35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 x14ac:dyDescent="0.35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 x14ac:dyDescent="0.35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 x14ac:dyDescent="0.35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 x14ac:dyDescent="0.35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 x14ac:dyDescent="0.35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 x14ac:dyDescent="0.35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 x14ac:dyDescent="0.35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 x14ac:dyDescent="0.35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 x14ac:dyDescent="0.35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 x14ac:dyDescent="0.35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 x14ac:dyDescent="0.35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 x14ac:dyDescent="0.35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 x14ac:dyDescent="0.35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 x14ac:dyDescent="0.35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 x14ac:dyDescent="0.35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 x14ac:dyDescent="0.35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 x14ac:dyDescent="0.35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 x14ac:dyDescent="0.35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 x14ac:dyDescent="0.35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 x14ac:dyDescent="0.35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 x14ac:dyDescent="0.35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 x14ac:dyDescent="0.35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 x14ac:dyDescent="0.35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 x14ac:dyDescent="0.35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 x14ac:dyDescent="0.35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 x14ac:dyDescent="0.35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 x14ac:dyDescent="0.35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 x14ac:dyDescent="0.35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 x14ac:dyDescent="0.35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 x14ac:dyDescent="0.35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 x14ac:dyDescent="0.35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 x14ac:dyDescent="0.35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 x14ac:dyDescent="0.35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 x14ac:dyDescent="0.35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 x14ac:dyDescent="0.35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 x14ac:dyDescent="0.35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 x14ac:dyDescent="0.35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 x14ac:dyDescent="0.35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 x14ac:dyDescent="0.35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 x14ac:dyDescent="0.35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 x14ac:dyDescent="0.35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 x14ac:dyDescent="0.35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 x14ac:dyDescent="0.35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 x14ac:dyDescent="0.35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 x14ac:dyDescent="0.35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 x14ac:dyDescent="0.35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 x14ac:dyDescent="0.35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 x14ac:dyDescent="0.35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 x14ac:dyDescent="0.35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 x14ac:dyDescent="0.35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 x14ac:dyDescent="0.35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 x14ac:dyDescent="0.35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 x14ac:dyDescent="0.35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 x14ac:dyDescent="0.35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 x14ac:dyDescent="0.35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 x14ac:dyDescent="0.35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 x14ac:dyDescent="0.35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 x14ac:dyDescent="0.35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 x14ac:dyDescent="0.35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 x14ac:dyDescent="0.35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 x14ac:dyDescent="0.35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 x14ac:dyDescent="0.35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 x14ac:dyDescent="0.35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 x14ac:dyDescent="0.35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 x14ac:dyDescent="0.35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 x14ac:dyDescent="0.35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 x14ac:dyDescent="0.35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 x14ac:dyDescent="0.35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 x14ac:dyDescent="0.35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 x14ac:dyDescent="0.35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 x14ac:dyDescent="0.35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 x14ac:dyDescent="0.35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 x14ac:dyDescent="0.35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 x14ac:dyDescent="0.35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 x14ac:dyDescent="0.35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 x14ac:dyDescent="0.35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 x14ac:dyDescent="0.35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 x14ac:dyDescent="0.35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 x14ac:dyDescent="0.35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 x14ac:dyDescent="0.35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 x14ac:dyDescent="0.35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 x14ac:dyDescent="0.35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 x14ac:dyDescent="0.35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 x14ac:dyDescent="0.35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 x14ac:dyDescent="0.35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 x14ac:dyDescent="0.35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 x14ac:dyDescent="0.35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 x14ac:dyDescent="0.35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 x14ac:dyDescent="0.35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 x14ac:dyDescent="0.35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 x14ac:dyDescent="0.35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 x14ac:dyDescent="0.35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 x14ac:dyDescent="0.35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 x14ac:dyDescent="0.35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 x14ac:dyDescent="0.35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 x14ac:dyDescent="0.35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 x14ac:dyDescent="0.35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 x14ac:dyDescent="0.35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 x14ac:dyDescent="0.35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 x14ac:dyDescent="0.35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 x14ac:dyDescent="0.35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 x14ac:dyDescent="0.35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 x14ac:dyDescent="0.35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 x14ac:dyDescent="0.35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 x14ac:dyDescent="0.35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 x14ac:dyDescent="0.35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 x14ac:dyDescent="0.35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 x14ac:dyDescent="0.35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 x14ac:dyDescent="0.35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 x14ac:dyDescent="0.35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 x14ac:dyDescent="0.35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 x14ac:dyDescent="0.35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 x14ac:dyDescent="0.35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 x14ac:dyDescent="0.35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 x14ac:dyDescent="0.35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 x14ac:dyDescent="0.35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 x14ac:dyDescent="0.35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 x14ac:dyDescent="0.35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 x14ac:dyDescent="0.35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 x14ac:dyDescent="0.35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 x14ac:dyDescent="0.35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 x14ac:dyDescent="0.35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 x14ac:dyDescent="0.35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 x14ac:dyDescent="0.35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 x14ac:dyDescent="0.35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 x14ac:dyDescent="0.35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 x14ac:dyDescent="0.35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 x14ac:dyDescent="0.35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 x14ac:dyDescent="0.35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 x14ac:dyDescent="0.35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 x14ac:dyDescent="0.35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 x14ac:dyDescent="0.35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 x14ac:dyDescent="0.35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 x14ac:dyDescent="0.35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 x14ac:dyDescent="0.35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 x14ac:dyDescent="0.35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 x14ac:dyDescent="0.35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 x14ac:dyDescent="0.35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 x14ac:dyDescent="0.35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 x14ac:dyDescent="0.35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 x14ac:dyDescent="0.35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 x14ac:dyDescent="0.35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 x14ac:dyDescent="0.35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 x14ac:dyDescent="0.35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 x14ac:dyDescent="0.35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 x14ac:dyDescent="0.35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 x14ac:dyDescent="0.35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 x14ac:dyDescent="0.35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 x14ac:dyDescent="0.35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 x14ac:dyDescent="0.35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 x14ac:dyDescent="0.35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 x14ac:dyDescent="0.35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 x14ac:dyDescent="0.35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 x14ac:dyDescent="0.35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 x14ac:dyDescent="0.35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 x14ac:dyDescent="0.35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 x14ac:dyDescent="0.35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 x14ac:dyDescent="0.35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 x14ac:dyDescent="0.35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 x14ac:dyDescent="0.35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 x14ac:dyDescent="0.35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 x14ac:dyDescent="0.35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 x14ac:dyDescent="0.35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 x14ac:dyDescent="0.35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 x14ac:dyDescent="0.35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 x14ac:dyDescent="0.35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 x14ac:dyDescent="0.35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 x14ac:dyDescent="0.35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 x14ac:dyDescent="0.35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 x14ac:dyDescent="0.35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 x14ac:dyDescent="0.35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 x14ac:dyDescent="0.35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 x14ac:dyDescent="0.35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 x14ac:dyDescent="0.35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 x14ac:dyDescent="0.35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 x14ac:dyDescent="0.35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 x14ac:dyDescent="0.35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 x14ac:dyDescent="0.35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 x14ac:dyDescent="0.35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 x14ac:dyDescent="0.35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 x14ac:dyDescent="0.35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 x14ac:dyDescent="0.35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 x14ac:dyDescent="0.35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 x14ac:dyDescent="0.35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 x14ac:dyDescent="0.35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 x14ac:dyDescent="0.35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 x14ac:dyDescent="0.35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 x14ac:dyDescent="0.35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 x14ac:dyDescent="0.35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 x14ac:dyDescent="0.35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 x14ac:dyDescent="0.35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 x14ac:dyDescent="0.35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 x14ac:dyDescent="0.35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 x14ac:dyDescent="0.35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 x14ac:dyDescent="0.35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 x14ac:dyDescent="0.35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 x14ac:dyDescent="0.35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 x14ac:dyDescent="0.35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 x14ac:dyDescent="0.35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 x14ac:dyDescent="0.35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 x14ac:dyDescent="0.35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 x14ac:dyDescent="0.35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 x14ac:dyDescent="0.35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 x14ac:dyDescent="0.35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 x14ac:dyDescent="0.35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 x14ac:dyDescent="0.35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 x14ac:dyDescent="0.35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 x14ac:dyDescent="0.35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 x14ac:dyDescent="0.35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 x14ac:dyDescent="0.35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 x14ac:dyDescent="0.35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 x14ac:dyDescent="0.35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 x14ac:dyDescent="0.35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 x14ac:dyDescent="0.35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 x14ac:dyDescent="0.35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 x14ac:dyDescent="0.35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 x14ac:dyDescent="0.35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 x14ac:dyDescent="0.35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 x14ac:dyDescent="0.35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 x14ac:dyDescent="0.35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 x14ac:dyDescent="0.35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 x14ac:dyDescent="0.35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 x14ac:dyDescent="0.35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 x14ac:dyDescent="0.35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 x14ac:dyDescent="0.35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 x14ac:dyDescent="0.35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 x14ac:dyDescent="0.35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 x14ac:dyDescent="0.35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 x14ac:dyDescent="0.35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 x14ac:dyDescent="0.35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 x14ac:dyDescent="0.35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 x14ac:dyDescent="0.35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 x14ac:dyDescent="0.35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 x14ac:dyDescent="0.35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 x14ac:dyDescent="0.35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 x14ac:dyDescent="0.35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 x14ac:dyDescent="0.35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 x14ac:dyDescent="0.35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 x14ac:dyDescent="0.35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 x14ac:dyDescent="0.35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 x14ac:dyDescent="0.35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 x14ac:dyDescent="0.35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 x14ac:dyDescent="0.35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 x14ac:dyDescent="0.35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 x14ac:dyDescent="0.35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 x14ac:dyDescent="0.35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 x14ac:dyDescent="0.35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 x14ac:dyDescent="0.35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 x14ac:dyDescent="0.35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 x14ac:dyDescent="0.35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 x14ac:dyDescent="0.35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 x14ac:dyDescent="0.35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 x14ac:dyDescent="0.35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 x14ac:dyDescent="0.35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 x14ac:dyDescent="0.35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 x14ac:dyDescent="0.35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 x14ac:dyDescent="0.35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 x14ac:dyDescent="0.35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 x14ac:dyDescent="0.35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 x14ac:dyDescent="0.35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 x14ac:dyDescent="0.35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 x14ac:dyDescent="0.35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 x14ac:dyDescent="0.35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 x14ac:dyDescent="0.35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 x14ac:dyDescent="0.35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 x14ac:dyDescent="0.35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 x14ac:dyDescent="0.35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 x14ac:dyDescent="0.35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 x14ac:dyDescent="0.35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 x14ac:dyDescent="0.35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 x14ac:dyDescent="0.35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 x14ac:dyDescent="0.35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 x14ac:dyDescent="0.35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 x14ac:dyDescent="0.35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 x14ac:dyDescent="0.35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 x14ac:dyDescent="0.35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 x14ac:dyDescent="0.35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 x14ac:dyDescent="0.35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 x14ac:dyDescent="0.35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 x14ac:dyDescent="0.35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 x14ac:dyDescent="0.35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 x14ac:dyDescent="0.35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 x14ac:dyDescent="0.35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 x14ac:dyDescent="0.35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 x14ac:dyDescent="0.35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 x14ac:dyDescent="0.35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 x14ac:dyDescent="0.35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 x14ac:dyDescent="0.35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 x14ac:dyDescent="0.35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 x14ac:dyDescent="0.35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 x14ac:dyDescent="0.35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 x14ac:dyDescent="0.35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 x14ac:dyDescent="0.35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 x14ac:dyDescent="0.35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 x14ac:dyDescent="0.35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 x14ac:dyDescent="0.35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 x14ac:dyDescent="0.35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 x14ac:dyDescent="0.35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 x14ac:dyDescent="0.35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 x14ac:dyDescent="0.35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 x14ac:dyDescent="0.35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 x14ac:dyDescent="0.35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 x14ac:dyDescent="0.35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 x14ac:dyDescent="0.35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 x14ac:dyDescent="0.35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 x14ac:dyDescent="0.35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 x14ac:dyDescent="0.35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 x14ac:dyDescent="0.35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 x14ac:dyDescent="0.35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 x14ac:dyDescent="0.35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 x14ac:dyDescent="0.35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 x14ac:dyDescent="0.35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 x14ac:dyDescent="0.35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 x14ac:dyDescent="0.35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 x14ac:dyDescent="0.35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 x14ac:dyDescent="0.35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 x14ac:dyDescent="0.35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 x14ac:dyDescent="0.35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 x14ac:dyDescent="0.35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 x14ac:dyDescent="0.35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 x14ac:dyDescent="0.35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 x14ac:dyDescent="0.35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 x14ac:dyDescent="0.35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 x14ac:dyDescent="0.35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 x14ac:dyDescent="0.35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 x14ac:dyDescent="0.35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 x14ac:dyDescent="0.35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 x14ac:dyDescent="0.35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 x14ac:dyDescent="0.35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 x14ac:dyDescent="0.35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 x14ac:dyDescent="0.35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 x14ac:dyDescent="0.35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 x14ac:dyDescent="0.35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 x14ac:dyDescent="0.35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 x14ac:dyDescent="0.35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 x14ac:dyDescent="0.35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 x14ac:dyDescent="0.35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 x14ac:dyDescent="0.35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 x14ac:dyDescent="0.35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 x14ac:dyDescent="0.35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 x14ac:dyDescent="0.35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 x14ac:dyDescent="0.35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 x14ac:dyDescent="0.35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 x14ac:dyDescent="0.35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 x14ac:dyDescent="0.35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 x14ac:dyDescent="0.35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 x14ac:dyDescent="0.35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 x14ac:dyDescent="0.35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 x14ac:dyDescent="0.35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 x14ac:dyDescent="0.35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 x14ac:dyDescent="0.35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 x14ac:dyDescent="0.35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 x14ac:dyDescent="0.35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 x14ac:dyDescent="0.35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 x14ac:dyDescent="0.35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 x14ac:dyDescent="0.35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 x14ac:dyDescent="0.35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 x14ac:dyDescent="0.35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 x14ac:dyDescent="0.35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U6672" s="1" t="s">
        <v>24</v>
      </c>
    </row>
    <row r="6673" spans="1:21" x14ac:dyDescent="0.35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 x14ac:dyDescent="0.35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 x14ac:dyDescent="0.35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 x14ac:dyDescent="0.35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 x14ac:dyDescent="0.35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 x14ac:dyDescent="0.35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 x14ac:dyDescent="0.35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 x14ac:dyDescent="0.35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 x14ac:dyDescent="0.35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 x14ac:dyDescent="0.35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 x14ac:dyDescent="0.35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 x14ac:dyDescent="0.35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 x14ac:dyDescent="0.35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 x14ac:dyDescent="0.35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 x14ac:dyDescent="0.35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 x14ac:dyDescent="0.35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 x14ac:dyDescent="0.35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 x14ac:dyDescent="0.35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 x14ac:dyDescent="0.35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 x14ac:dyDescent="0.35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 x14ac:dyDescent="0.35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 x14ac:dyDescent="0.35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 x14ac:dyDescent="0.35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 x14ac:dyDescent="0.35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 x14ac:dyDescent="0.35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 x14ac:dyDescent="0.35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 x14ac:dyDescent="0.35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 x14ac:dyDescent="0.35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 x14ac:dyDescent="0.35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 x14ac:dyDescent="0.35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 x14ac:dyDescent="0.35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 x14ac:dyDescent="0.35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 x14ac:dyDescent="0.35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 x14ac:dyDescent="0.35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 x14ac:dyDescent="0.35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 x14ac:dyDescent="0.35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 x14ac:dyDescent="0.35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 x14ac:dyDescent="0.35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 x14ac:dyDescent="0.35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 x14ac:dyDescent="0.35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 x14ac:dyDescent="0.35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 x14ac:dyDescent="0.35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 x14ac:dyDescent="0.35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 x14ac:dyDescent="0.35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 x14ac:dyDescent="0.35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 x14ac:dyDescent="0.35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 x14ac:dyDescent="0.35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 x14ac:dyDescent="0.35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 x14ac:dyDescent="0.35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 x14ac:dyDescent="0.35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 x14ac:dyDescent="0.35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 x14ac:dyDescent="0.35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 x14ac:dyDescent="0.35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 x14ac:dyDescent="0.35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 x14ac:dyDescent="0.35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 x14ac:dyDescent="0.35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 x14ac:dyDescent="0.35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 x14ac:dyDescent="0.35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 x14ac:dyDescent="0.35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 x14ac:dyDescent="0.35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 x14ac:dyDescent="0.35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 x14ac:dyDescent="0.35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 x14ac:dyDescent="0.35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 x14ac:dyDescent="0.35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 x14ac:dyDescent="0.35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 x14ac:dyDescent="0.35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 x14ac:dyDescent="0.35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 x14ac:dyDescent="0.35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 x14ac:dyDescent="0.35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 x14ac:dyDescent="0.35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 x14ac:dyDescent="0.35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 x14ac:dyDescent="0.35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 x14ac:dyDescent="0.35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 x14ac:dyDescent="0.35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 x14ac:dyDescent="0.35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 x14ac:dyDescent="0.35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 x14ac:dyDescent="0.35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 x14ac:dyDescent="0.35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 x14ac:dyDescent="0.35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 x14ac:dyDescent="0.35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 x14ac:dyDescent="0.35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 x14ac:dyDescent="0.35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 x14ac:dyDescent="0.35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 x14ac:dyDescent="0.35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U6756" s="1" t="s">
        <v>24</v>
      </c>
    </row>
    <row r="6757" spans="1:21" x14ac:dyDescent="0.35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 x14ac:dyDescent="0.35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 x14ac:dyDescent="0.35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 x14ac:dyDescent="0.35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 x14ac:dyDescent="0.35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 x14ac:dyDescent="0.35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 x14ac:dyDescent="0.35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 x14ac:dyDescent="0.35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 x14ac:dyDescent="0.35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 x14ac:dyDescent="0.35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 x14ac:dyDescent="0.35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 x14ac:dyDescent="0.35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 x14ac:dyDescent="0.35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 x14ac:dyDescent="0.35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 x14ac:dyDescent="0.35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 x14ac:dyDescent="0.35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 x14ac:dyDescent="0.35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 x14ac:dyDescent="0.35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 x14ac:dyDescent="0.35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 x14ac:dyDescent="0.35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 x14ac:dyDescent="0.35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 x14ac:dyDescent="0.35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 x14ac:dyDescent="0.35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 x14ac:dyDescent="0.35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 x14ac:dyDescent="0.35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 x14ac:dyDescent="0.35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 x14ac:dyDescent="0.35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 x14ac:dyDescent="0.35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 x14ac:dyDescent="0.35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 x14ac:dyDescent="0.35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 x14ac:dyDescent="0.35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 x14ac:dyDescent="0.35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 x14ac:dyDescent="0.35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 x14ac:dyDescent="0.35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 x14ac:dyDescent="0.35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 x14ac:dyDescent="0.35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 x14ac:dyDescent="0.35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 x14ac:dyDescent="0.35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 x14ac:dyDescent="0.35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 x14ac:dyDescent="0.35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 x14ac:dyDescent="0.35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 x14ac:dyDescent="0.35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 x14ac:dyDescent="0.35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 x14ac:dyDescent="0.35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 x14ac:dyDescent="0.35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 x14ac:dyDescent="0.35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 x14ac:dyDescent="0.35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 x14ac:dyDescent="0.35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 x14ac:dyDescent="0.35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 x14ac:dyDescent="0.35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 x14ac:dyDescent="0.35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 x14ac:dyDescent="0.35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 x14ac:dyDescent="0.35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 x14ac:dyDescent="0.35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 x14ac:dyDescent="0.35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 x14ac:dyDescent="0.35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 x14ac:dyDescent="0.35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 x14ac:dyDescent="0.35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 x14ac:dyDescent="0.35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 x14ac:dyDescent="0.35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 x14ac:dyDescent="0.35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 x14ac:dyDescent="0.35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 x14ac:dyDescent="0.35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 x14ac:dyDescent="0.35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 x14ac:dyDescent="0.35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 x14ac:dyDescent="0.35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 x14ac:dyDescent="0.35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 x14ac:dyDescent="0.35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 x14ac:dyDescent="0.35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 x14ac:dyDescent="0.35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 x14ac:dyDescent="0.35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 x14ac:dyDescent="0.35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 x14ac:dyDescent="0.35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 x14ac:dyDescent="0.35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 x14ac:dyDescent="0.35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 x14ac:dyDescent="0.35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 x14ac:dyDescent="0.35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 x14ac:dyDescent="0.35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 x14ac:dyDescent="0.35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 x14ac:dyDescent="0.35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 x14ac:dyDescent="0.35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 x14ac:dyDescent="0.35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 x14ac:dyDescent="0.35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 x14ac:dyDescent="0.35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 x14ac:dyDescent="0.35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 x14ac:dyDescent="0.35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 x14ac:dyDescent="0.35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 x14ac:dyDescent="0.35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 x14ac:dyDescent="0.35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 x14ac:dyDescent="0.35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 x14ac:dyDescent="0.35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 x14ac:dyDescent="0.35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 x14ac:dyDescent="0.35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 x14ac:dyDescent="0.35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 x14ac:dyDescent="0.35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 x14ac:dyDescent="0.35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 x14ac:dyDescent="0.35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 x14ac:dyDescent="0.35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 x14ac:dyDescent="0.35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 x14ac:dyDescent="0.35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 x14ac:dyDescent="0.35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 x14ac:dyDescent="0.35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 x14ac:dyDescent="0.35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 x14ac:dyDescent="0.35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 x14ac:dyDescent="0.35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 x14ac:dyDescent="0.35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 x14ac:dyDescent="0.35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 x14ac:dyDescent="0.35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 x14ac:dyDescent="0.35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 x14ac:dyDescent="0.35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 x14ac:dyDescent="0.35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 x14ac:dyDescent="0.35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 x14ac:dyDescent="0.35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 x14ac:dyDescent="0.35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 x14ac:dyDescent="0.35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 x14ac:dyDescent="0.35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 x14ac:dyDescent="0.35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 x14ac:dyDescent="0.35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 x14ac:dyDescent="0.35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 x14ac:dyDescent="0.35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 x14ac:dyDescent="0.35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 x14ac:dyDescent="0.35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 x14ac:dyDescent="0.35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 x14ac:dyDescent="0.35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 x14ac:dyDescent="0.35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 x14ac:dyDescent="0.35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 x14ac:dyDescent="0.35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 x14ac:dyDescent="0.35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 x14ac:dyDescent="0.35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 x14ac:dyDescent="0.35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 x14ac:dyDescent="0.35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 x14ac:dyDescent="0.35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 x14ac:dyDescent="0.35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 x14ac:dyDescent="0.35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 x14ac:dyDescent="0.35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 x14ac:dyDescent="0.35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 x14ac:dyDescent="0.35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 x14ac:dyDescent="0.35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 x14ac:dyDescent="0.35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 x14ac:dyDescent="0.35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 x14ac:dyDescent="0.35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 x14ac:dyDescent="0.35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 x14ac:dyDescent="0.35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 x14ac:dyDescent="0.35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 x14ac:dyDescent="0.35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 x14ac:dyDescent="0.35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 x14ac:dyDescent="0.35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 x14ac:dyDescent="0.35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 x14ac:dyDescent="0.35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 x14ac:dyDescent="0.35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 x14ac:dyDescent="0.35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 x14ac:dyDescent="0.35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 x14ac:dyDescent="0.35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 x14ac:dyDescent="0.35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 x14ac:dyDescent="0.35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 x14ac:dyDescent="0.35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 x14ac:dyDescent="0.35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 x14ac:dyDescent="0.35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 x14ac:dyDescent="0.35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 x14ac:dyDescent="0.35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 x14ac:dyDescent="0.35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 x14ac:dyDescent="0.35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 x14ac:dyDescent="0.35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 x14ac:dyDescent="0.35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 x14ac:dyDescent="0.35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 x14ac:dyDescent="0.35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 x14ac:dyDescent="0.35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 x14ac:dyDescent="0.35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 x14ac:dyDescent="0.35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 x14ac:dyDescent="0.35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 x14ac:dyDescent="0.35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 x14ac:dyDescent="0.35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 x14ac:dyDescent="0.35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 x14ac:dyDescent="0.35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 x14ac:dyDescent="0.35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 x14ac:dyDescent="0.35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 x14ac:dyDescent="0.35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 x14ac:dyDescent="0.35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 x14ac:dyDescent="0.35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 x14ac:dyDescent="0.35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 x14ac:dyDescent="0.35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 x14ac:dyDescent="0.35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 x14ac:dyDescent="0.35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 x14ac:dyDescent="0.35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 x14ac:dyDescent="0.35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 x14ac:dyDescent="0.35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 x14ac:dyDescent="0.35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 x14ac:dyDescent="0.35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 x14ac:dyDescent="0.35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 x14ac:dyDescent="0.35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 x14ac:dyDescent="0.35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 x14ac:dyDescent="0.35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 x14ac:dyDescent="0.35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 x14ac:dyDescent="0.35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 x14ac:dyDescent="0.35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 x14ac:dyDescent="0.35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 x14ac:dyDescent="0.35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 x14ac:dyDescent="0.35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 x14ac:dyDescent="0.35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 x14ac:dyDescent="0.35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 x14ac:dyDescent="0.35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 x14ac:dyDescent="0.35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 x14ac:dyDescent="0.35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 x14ac:dyDescent="0.35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 x14ac:dyDescent="0.35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 x14ac:dyDescent="0.35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 x14ac:dyDescent="0.35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 x14ac:dyDescent="0.35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 x14ac:dyDescent="0.35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 x14ac:dyDescent="0.35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 x14ac:dyDescent="0.35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 x14ac:dyDescent="0.35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 x14ac:dyDescent="0.35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 x14ac:dyDescent="0.35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 x14ac:dyDescent="0.35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 x14ac:dyDescent="0.35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 x14ac:dyDescent="0.35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 x14ac:dyDescent="0.35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 x14ac:dyDescent="0.35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 x14ac:dyDescent="0.35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 x14ac:dyDescent="0.35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 x14ac:dyDescent="0.35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 x14ac:dyDescent="0.35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 x14ac:dyDescent="0.35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 x14ac:dyDescent="0.35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 x14ac:dyDescent="0.35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 x14ac:dyDescent="0.35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 x14ac:dyDescent="0.35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 x14ac:dyDescent="0.35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 x14ac:dyDescent="0.35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 x14ac:dyDescent="0.35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 x14ac:dyDescent="0.35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 x14ac:dyDescent="0.35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 x14ac:dyDescent="0.35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 x14ac:dyDescent="0.35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 x14ac:dyDescent="0.35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 x14ac:dyDescent="0.35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 x14ac:dyDescent="0.35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 x14ac:dyDescent="0.35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 x14ac:dyDescent="0.35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 x14ac:dyDescent="0.35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 x14ac:dyDescent="0.35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 x14ac:dyDescent="0.35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 x14ac:dyDescent="0.35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 x14ac:dyDescent="0.35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 x14ac:dyDescent="0.35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 x14ac:dyDescent="0.35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 x14ac:dyDescent="0.35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 x14ac:dyDescent="0.35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 x14ac:dyDescent="0.35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 x14ac:dyDescent="0.35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 x14ac:dyDescent="0.35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 x14ac:dyDescent="0.35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 x14ac:dyDescent="0.35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 x14ac:dyDescent="0.35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 x14ac:dyDescent="0.35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 x14ac:dyDescent="0.35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 x14ac:dyDescent="0.35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 x14ac:dyDescent="0.35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 x14ac:dyDescent="0.35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 x14ac:dyDescent="0.35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 x14ac:dyDescent="0.35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 x14ac:dyDescent="0.35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 x14ac:dyDescent="0.35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 x14ac:dyDescent="0.35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 x14ac:dyDescent="0.35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 x14ac:dyDescent="0.35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 x14ac:dyDescent="0.35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 x14ac:dyDescent="0.35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 x14ac:dyDescent="0.35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 x14ac:dyDescent="0.35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 x14ac:dyDescent="0.35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 x14ac:dyDescent="0.35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 x14ac:dyDescent="0.35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 x14ac:dyDescent="0.35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 x14ac:dyDescent="0.35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 x14ac:dyDescent="0.35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 x14ac:dyDescent="0.35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 x14ac:dyDescent="0.35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 x14ac:dyDescent="0.35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 x14ac:dyDescent="0.35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 x14ac:dyDescent="0.35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 x14ac:dyDescent="0.35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 x14ac:dyDescent="0.35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 x14ac:dyDescent="0.35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 x14ac:dyDescent="0.35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 x14ac:dyDescent="0.35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 x14ac:dyDescent="0.35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F856-3EF1-4657-B302-BE697D26009B}">
  <dimension ref="A2:B5"/>
  <sheetViews>
    <sheetView workbookViewId="0">
      <selection activeCell="B5" sqref="B5"/>
    </sheetView>
  </sheetViews>
  <sheetFormatPr defaultRowHeight="14.5" x14ac:dyDescent="0.35"/>
  <cols>
    <col min="1" max="1" width="19.453125" customWidth="1"/>
  </cols>
  <sheetData>
    <row r="2" spans="1:2" x14ac:dyDescent="0.35">
      <c r="A2" t="s">
        <v>7079</v>
      </c>
      <c r="B2">
        <f>COUNTA(Raw_Data!A:A)-1</f>
        <v>7043</v>
      </c>
    </row>
    <row r="3" spans="1:2" x14ac:dyDescent="0.35">
      <c r="A3" t="s">
        <v>7080</v>
      </c>
      <c r="B3">
        <f>COUNTIF(Raw_Data!U:U,"*Yes*")</f>
        <v>1869</v>
      </c>
    </row>
    <row r="4" spans="1:2" x14ac:dyDescent="0.35">
      <c r="A4" t="s">
        <v>7081</v>
      </c>
      <c r="B4">
        <f>COUNTIF(Raw_Data!U:U,"*No*")</f>
        <v>5174</v>
      </c>
    </row>
    <row r="5" spans="1:2" x14ac:dyDescent="0.35">
      <c r="B5" s="2">
        <f>B3/B2</f>
        <v>0.26536987079369589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6346-AC86-48F8-9269-4360A5E2ACFB}">
  <dimension ref="A2:B7"/>
  <sheetViews>
    <sheetView tabSelected="1" workbookViewId="0">
      <selection activeCell="A8" sqref="A8"/>
    </sheetView>
  </sheetViews>
  <sheetFormatPr defaultRowHeight="14.5" x14ac:dyDescent="0.35"/>
  <cols>
    <col min="1" max="1" width="25.6328125" customWidth="1"/>
    <col min="2" max="2" width="12.08984375" customWidth="1"/>
  </cols>
  <sheetData>
    <row r="2" spans="1:2" x14ac:dyDescent="0.35">
      <c r="A2" t="s">
        <v>7082</v>
      </c>
      <c r="B2">
        <f>SUMIF(Raw_Data!U:U,"*Yes*",Raw_Data!S:S)</f>
        <v>139130.84999999986</v>
      </c>
    </row>
    <row r="3" spans="1:2" x14ac:dyDescent="0.35">
      <c r="A3" t="s">
        <v>7083</v>
      </c>
      <c r="B3">
        <f>SUM(Raw_Data!S:S)</f>
        <v>456116.60000000033</v>
      </c>
    </row>
    <row r="4" spans="1:2" x14ac:dyDescent="0.35">
      <c r="A4" t="s">
        <v>7084</v>
      </c>
      <c r="B4" s="2">
        <f>B2/B3</f>
        <v>0.30503351555282082</v>
      </c>
    </row>
    <row r="6" spans="1:2" x14ac:dyDescent="0.35">
      <c r="A6" t="s">
        <v>7085</v>
      </c>
      <c r="B6">
        <f>AVERAGEIF(Raw_Data!U:U,"*Yes*",Raw_Data!S:S)</f>
        <v>74.441332263242302</v>
      </c>
    </row>
    <row r="7" spans="1:2" x14ac:dyDescent="0.35">
      <c r="A7" t="s">
        <v>7086</v>
      </c>
      <c r="B7">
        <f>AVERAGEIF(Raw_Data!U:U,"*No*",Raw_Data!S:S)</f>
        <v>61.2651236953999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F9B2-EC15-44F0-8658-4E5200D9504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B5E15F-484F-4BB3-96D4-71EAE3E3EF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Churn_Summary</vt:lpstr>
      <vt:lpstr>Revenue_Impact</vt:lpstr>
      <vt:lpstr>Insights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avantika neela manikandan</dc:creator>
  <cp:lastModifiedBy>avantika neela manikandan</cp:lastModifiedBy>
  <dcterms:created xsi:type="dcterms:W3CDTF">2026-01-26T12:48:13Z</dcterms:created>
  <dcterms:modified xsi:type="dcterms:W3CDTF">2026-01-26T14:13:56Z</dcterms:modified>
</cp:coreProperties>
</file>